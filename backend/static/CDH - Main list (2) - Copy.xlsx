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CD16645-2644-49B3-B975-68D01B2898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tal List" sheetId="1" r:id="rId1"/>
  </sheets>
  <definedNames>
    <definedName name="_xlnm._FilterDatabase" localSheetId="0" hidden="1">'Total List'!$A$1:$AE$123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K2" i="1"/>
  <c r="L2" i="1"/>
  <c r="M2" i="1" s="1"/>
  <c r="K5" i="1"/>
  <c r="L5" i="1"/>
  <c r="M5" i="1" s="1"/>
  <c r="K7" i="1"/>
  <c r="L7" i="1"/>
  <c r="M7" i="1"/>
  <c r="K8" i="1"/>
  <c r="L8" i="1"/>
  <c r="M8" i="1" s="1"/>
  <c r="K11" i="1"/>
  <c r="L11" i="1"/>
  <c r="M11" i="1" s="1"/>
  <c r="K12" i="1"/>
  <c r="L12" i="1"/>
  <c r="M12" i="1" s="1"/>
  <c r="N13" i="1"/>
  <c r="K14" i="1"/>
  <c r="M14" i="1"/>
  <c r="K17" i="1"/>
  <c r="L17" i="1"/>
  <c r="M17" i="1" s="1"/>
  <c r="K20" i="1"/>
  <c r="L20" i="1"/>
  <c r="M20" i="1"/>
  <c r="K21" i="1"/>
  <c r="L21" i="1"/>
  <c r="M21" i="1"/>
  <c r="K24" i="1"/>
  <c r="L24" i="1"/>
  <c r="M24" i="1"/>
  <c r="K26" i="1"/>
  <c r="L26" i="1"/>
  <c r="M26" i="1" s="1"/>
  <c r="K27" i="1"/>
  <c r="L27" i="1"/>
  <c r="M27" i="1"/>
  <c r="K28" i="1"/>
  <c r="L28" i="1"/>
  <c r="M28" i="1" s="1"/>
  <c r="K29" i="1"/>
  <c r="L29" i="1"/>
  <c r="M29" i="1"/>
  <c r="K30" i="1"/>
  <c r="L30" i="1"/>
  <c r="M30" i="1" s="1"/>
  <c r="K31" i="1"/>
  <c r="L31" i="1"/>
  <c r="M31" i="1"/>
  <c r="K32" i="1"/>
  <c r="L32" i="1"/>
  <c r="M32" i="1"/>
  <c r="K33" i="1"/>
  <c r="M33" i="1"/>
  <c r="K34" i="1"/>
  <c r="L34" i="1"/>
  <c r="M34" i="1"/>
  <c r="K37" i="1"/>
  <c r="L37" i="1"/>
  <c r="M37" i="1"/>
  <c r="K39" i="1"/>
  <c r="L39" i="1"/>
  <c r="M39" i="1"/>
  <c r="K40" i="1"/>
  <c r="L40" i="1"/>
  <c r="M40" i="1" s="1"/>
  <c r="K41" i="1"/>
  <c r="L41" i="1"/>
  <c r="M41" i="1"/>
  <c r="K42" i="1"/>
  <c r="L42" i="1"/>
  <c r="M42" i="1" s="1"/>
  <c r="K43" i="1"/>
  <c r="L43" i="1"/>
  <c r="M43" i="1"/>
  <c r="K44" i="1"/>
  <c r="L44" i="1"/>
  <c r="M44" i="1" s="1"/>
  <c r="K45" i="1"/>
  <c r="L45" i="1"/>
  <c r="M45" i="1"/>
  <c r="K47" i="1"/>
  <c r="L47" i="1"/>
  <c r="M47" i="1"/>
  <c r="K48" i="1"/>
  <c r="L48" i="1"/>
  <c r="M48" i="1"/>
  <c r="K49" i="1"/>
  <c r="L49" i="1"/>
  <c r="M49" i="1" s="1"/>
  <c r="K50" i="1"/>
  <c r="L50" i="1"/>
  <c r="M50" i="1"/>
  <c r="K51" i="1"/>
  <c r="L51" i="1"/>
  <c r="M51" i="1" s="1"/>
  <c r="K52" i="1"/>
  <c r="L52" i="1"/>
  <c r="M52" i="1"/>
  <c r="K53" i="1"/>
  <c r="L53" i="1"/>
  <c r="M53" i="1" s="1"/>
  <c r="K55" i="1"/>
  <c r="L55" i="1"/>
  <c r="M55" i="1"/>
  <c r="K56" i="1"/>
  <c r="L56" i="1"/>
  <c r="M56" i="1"/>
  <c r="K58" i="1"/>
  <c r="L58" i="1"/>
  <c r="M58" i="1"/>
  <c r="K63" i="1"/>
  <c r="L63" i="1"/>
  <c r="M63" i="1" s="1"/>
  <c r="K65" i="1"/>
  <c r="L65" i="1"/>
  <c r="M65" i="1"/>
  <c r="K69" i="1"/>
  <c r="L69" i="1"/>
  <c r="M69" i="1" s="1"/>
  <c r="K70" i="1"/>
  <c r="L70" i="1"/>
  <c r="M70" i="1"/>
  <c r="K71" i="1"/>
  <c r="L71" i="1"/>
  <c r="M71" i="1" s="1"/>
  <c r="K74" i="1"/>
  <c r="L74" i="1"/>
  <c r="M74" i="1"/>
  <c r="K78" i="1"/>
  <c r="L78" i="1"/>
  <c r="M78" i="1"/>
  <c r="K79" i="1"/>
  <c r="L79" i="1"/>
  <c r="M79" i="1"/>
  <c r="K81" i="1"/>
  <c r="L81" i="1"/>
  <c r="M81" i="1" s="1"/>
  <c r="AA87" i="1"/>
  <c r="AA86" i="1"/>
  <c r="AA4" i="1"/>
  <c r="AA85" i="1"/>
  <c r="AA36" i="1"/>
  <c r="AA23" i="1"/>
  <c r="AA35" i="1"/>
  <c r="AA19" i="1"/>
  <c r="AA22" i="1"/>
</calcChain>
</file>

<file path=xl/sharedStrings.xml><?xml version="1.0" encoding="utf-8"?>
<sst xmlns="http://schemas.openxmlformats.org/spreadsheetml/2006/main" count="1315" uniqueCount="709">
  <si>
    <t>Name</t>
  </si>
  <si>
    <t>Total Exp</t>
  </si>
  <si>
    <t>Pega Exp</t>
  </si>
  <si>
    <t>CDH exp</t>
  </si>
  <si>
    <t>Current CTC</t>
  </si>
  <si>
    <t>Exp CTC</t>
  </si>
  <si>
    <t>Percentage Hike</t>
  </si>
  <si>
    <t>Candidate Interview Status</t>
  </si>
  <si>
    <t>Availability in Days</t>
  </si>
  <si>
    <t>Notice Period</t>
  </si>
  <si>
    <t>Current Malaysian Ringgit /year</t>
  </si>
  <si>
    <t>Expected Malaysian Ringgit /year</t>
  </si>
  <si>
    <t>Expected Ringgit/ month</t>
  </si>
  <si>
    <t>Phone No</t>
  </si>
  <si>
    <t>Email</t>
  </si>
  <si>
    <t>Linkedin</t>
  </si>
  <si>
    <t>Current Location</t>
  </si>
  <si>
    <t>Pref Locations</t>
  </si>
  <si>
    <t>Current Employment</t>
  </si>
  <si>
    <t>Current Client</t>
  </si>
  <si>
    <t>Domain</t>
  </si>
  <si>
    <t>Tier</t>
  </si>
  <si>
    <t>Certification Version</t>
  </si>
  <si>
    <t>Work Exp</t>
  </si>
  <si>
    <t>Stage</t>
  </si>
  <si>
    <t>Notes</t>
  </si>
  <si>
    <r>
      <rPr>
        <b/>
        <sz val="11"/>
        <color rgb="FF000000"/>
        <rFont val="Calibri"/>
        <scheme val="minor"/>
      </rPr>
      <t>BG-NA</t>
    </r>
    <r>
      <rPr>
        <sz val="11"/>
        <color rgb="FF000000"/>
        <rFont val="Calibri"/>
        <scheme val="minor"/>
      </rPr>
      <t xml:space="preserve"> = backgroud not available - fresh candidate - proceed with interview
</t>
    </r>
    <r>
      <rPr>
        <b/>
        <sz val="11"/>
        <color rgb="FF000000"/>
        <rFont val="Calibri"/>
        <scheme val="minor"/>
      </rPr>
      <t>BG-AV-SELECT</t>
    </r>
    <r>
      <rPr>
        <sz val="11"/>
        <color rgb="FF000000"/>
        <rFont val="Calibri"/>
        <scheme val="minor"/>
      </rPr>
      <t xml:space="preserve">=previously passed interview - good candidate - can select
</t>
    </r>
    <r>
      <rPr>
        <b/>
        <sz val="11"/>
        <color rgb="FF000000"/>
        <rFont val="Calibri"/>
        <scheme val="minor"/>
      </rPr>
      <t>BG-AV-RJ</t>
    </r>
    <r>
      <rPr>
        <sz val="11"/>
        <color rgb="FF000000"/>
        <rFont val="Calibri"/>
        <scheme val="minor"/>
      </rPr>
      <t xml:space="preserve">=previously failed interview - lacks skills / communication issue - advise to reject
</t>
    </r>
    <r>
      <rPr>
        <b/>
        <sz val="11"/>
        <color rgb="FF000000"/>
        <rFont val="Calibri"/>
        <scheme val="minor"/>
      </rPr>
      <t>BG-NA-?</t>
    </r>
    <r>
      <rPr>
        <sz val="11"/>
        <color rgb="FF000000"/>
        <rFont val="Calibri"/>
        <scheme val="minor"/>
      </rPr>
      <t>=ambiguous name - rechek the details - if matches then action as advised</t>
    </r>
  </si>
  <si>
    <t>Interview
 Feedback</t>
  </si>
  <si>
    <t xml:space="preserve">Mithun </t>
  </si>
  <si>
    <t>mithun.r76@gmail.com</t>
  </si>
  <si>
    <t>https://www.linkedin.com/in/mithun-r-a13a501a6/</t>
  </si>
  <si>
    <t>Mercedes Benz</t>
  </si>
  <si>
    <t>Finance</t>
  </si>
  <si>
    <t>no certification yet .preparing V24 in april</t>
  </si>
  <si>
    <t xml:space="preserve"> nba 8.5 deployment-lead , ops manager</t>
  </si>
  <si>
    <t>May Consider</t>
  </si>
  <si>
    <t>BG-NA</t>
  </si>
  <si>
    <t>Kommana Venkata Amrutha Sai</t>
  </si>
  <si>
    <t>company std</t>
  </si>
  <si>
    <t> </t>
  </si>
  <si>
    <t>immediate</t>
  </si>
  <si>
    <t>amruthakommana2002@gmail.com</t>
  </si>
  <si>
    <t>https://www.linkedin.com/in/kommana-venkata-amrutha-sai-pegadeveloper/</t>
  </si>
  <si>
    <t>Accenture</t>
  </si>
  <si>
    <t>Banking</t>
  </si>
  <si>
    <t>v24/nba/manual deployment</t>
  </si>
  <si>
    <t>Debashish Mohakud</t>
  </si>
  <si>
    <t>PASS - Onsite</t>
  </si>
  <si>
    <t>90(30)</t>
  </si>
  <si>
    <t>debashismohakud816@gmail.com</t>
  </si>
  <si>
    <t>https://www.linkedin.com/in/debashis-mohakud-583911226/</t>
  </si>
  <si>
    <t>Areteans</t>
  </si>
  <si>
    <t>National Australian Bank</t>
  </si>
  <si>
    <t>8.7,infinity 23</t>
  </si>
  <si>
    <t>24/nba/deployment manager/ops manager</t>
  </si>
  <si>
    <t>Selected</t>
  </si>
  <si>
    <t>Paromita Mondal</t>
  </si>
  <si>
    <t>Rejected</t>
  </si>
  <si>
    <t>90 (45)</t>
  </si>
  <si>
    <t>paromita95mondal@gmail.com</t>
  </si>
  <si>
    <t>https://www.linkedin.com/in/paromita-mondal-b04455163/</t>
  </si>
  <si>
    <t>CTS</t>
  </si>
  <si>
    <t>xxx</t>
  </si>
  <si>
    <t>xxxxxxxxx</t>
  </si>
  <si>
    <t>xx</t>
  </si>
  <si>
    <t>xxxxxxx</t>
  </si>
  <si>
    <t>Currently with Accenture India</t>
  </si>
  <si>
    <t>BG-AV-RJ</t>
  </si>
  <si>
    <t xml:space="preserve">Naresh M																						</t>
  </si>
  <si>
    <t>willing to work for max 4 yrs CDH exp</t>
  </si>
  <si>
    <t>Shivani Soma</t>
  </si>
  <si>
    <t>nareshm5678@gmail.com</t>
  </si>
  <si>
    <t>Coforge</t>
  </si>
  <si>
    <t>santantar</t>
  </si>
  <si>
    <t>8.4 upgrade to 24</t>
  </si>
  <si>
    <t>New</t>
  </si>
  <si>
    <t>Yashvant Nagendra - not available</t>
  </si>
  <si>
    <t>Not Available</t>
  </si>
  <si>
    <t>70227 95268</t>
  </si>
  <si>
    <t>yashvant.nagendra@gmail.com</t>
  </si>
  <si>
    <t>https://www.linkedin.com/in/yashvant-nagendra/</t>
  </si>
  <si>
    <t>Infosys</t>
  </si>
  <si>
    <t>Selected , Not Available</t>
  </si>
  <si>
    <t xml:space="preserve">RAJARATHINAM R </t>
  </si>
  <si>
    <t>60(nego)</t>
  </si>
  <si>
    <t>98404 19811</t>
  </si>
  <si>
    <t>rajarathinam.r11@gmail.com</t>
  </si>
  <si>
    <t>https://www.linkedin.com/in/rajarathinam-r-8a6a06216/</t>
  </si>
  <si>
    <t>TCS</t>
  </si>
  <si>
    <t>Dubai - 2yrs</t>
  </si>
  <si>
    <t>Gopicharan Chiluka</t>
  </si>
  <si>
    <t>Hold-Bottom-Low</t>
  </si>
  <si>
    <t>60(30)</t>
  </si>
  <si>
    <t>charanchiluka198@gmail.com</t>
  </si>
  <si>
    <t>https://www.linkedin.com/in/gopicharan-chiluka-549b771a3/</t>
  </si>
  <si>
    <t>CommonWealth Bank</t>
  </si>
  <si>
    <t>Top</t>
  </si>
  <si>
    <t>24/migrsation to 25/nba/manual</t>
  </si>
  <si>
    <t>Harishkumar Nanthabad - Schedule next week</t>
  </si>
  <si>
    <t>nanthabadharish16@gmail.com</t>
  </si>
  <si>
    <t>https://www.linkedin.com/in/hareeshkumarn/</t>
  </si>
  <si>
    <t>Eclantiqx</t>
  </si>
  <si>
    <t>CreditOne</t>
  </si>
  <si>
    <t>Low</t>
  </si>
  <si>
    <t>24/nba/ops manager</t>
  </si>
  <si>
    <t>have offer of 16 LPA. Anything above or onsite</t>
  </si>
  <si>
    <t>Devubariki Maneesha - Not available</t>
  </si>
  <si>
    <t xml:space="preserve">immediate </t>
  </si>
  <si>
    <t>immediate (LWD feb18)</t>
  </si>
  <si>
    <t>Maneeshadevu779@gmail.com</t>
  </si>
  <si>
    <t>https://www.linkedin.com/in/maneesha-devubariki-3063b9222/</t>
  </si>
  <si>
    <t>Agreeya</t>
  </si>
  <si>
    <t>xxxxxxxxxxx</t>
  </si>
  <si>
    <t>Sushil Pratap Singh</t>
  </si>
  <si>
    <t>sushilp897@gmail.com</t>
  </si>
  <si>
    <t>https://www.linkedin.com/in/sushil-pratap-singh-ba167a150/</t>
  </si>
  <si>
    <t>Futureproof</t>
  </si>
  <si>
    <t>Sneha Latha Jupalli</t>
  </si>
  <si>
    <t>30+4</t>
  </si>
  <si>
    <t>Pass</t>
  </si>
  <si>
    <t>snehalatha.jupalli@gmail.com</t>
  </si>
  <si>
    <t>https://www.linkedin.com/in/sneha-latha-jupalli-0b7655113/</t>
  </si>
  <si>
    <t>Morgan Stanley</t>
  </si>
  <si>
    <t>Morgan Staneley</t>
  </si>
  <si>
    <t>7.8 (datascientist - 8)</t>
  </si>
  <si>
    <t>8.8/nba/manual deployement</t>
  </si>
  <si>
    <t>Good to Go</t>
  </si>
  <si>
    <t>Naga Ramesh Thirlaka</t>
  </si>
  <si>
    <t>RM 35500 + EPF</t>
  </si>
  <si>
    <t>RM 40000 + EPF</t>
  </si>
  <si>
    <t>Malaysia</t>
  </si>
  <si>
    <t xml:space="preserve">30 days </t>
  </si>
  <si>
    <t>Malay - +60143828807</t>
  </si>
  <si>
    <t xml:space="preserve">agarameshthirlaka@gmail.com </t>
  </si>
  <si>
    <t>https://www.linkedin.com/in/naga-ramesh-thirlaka-8aa13491/</t>
  </si>
  <si>
    <t>Standard Chartered Bank</t>
  </si>
  <si>
    <t>v23/nba/manual and devops</t>
  </si>
  <si>
    <t>Have Malaysian passport</t>
  </si>
  <si>
    <t>Jayram Prabhuzantye - Australia</t>
  </si>
  <si>
    <t>Australia</t>
  </si>
  <si>
    <t xml:space="preserve">AUS -0434 328 902 </t>
  </si>
  <si>
    <t xml:space="preserve"> jayram.prabhu@gmail.com</t>
  </si>
  <si>
    <t>https://www.linkedin.com/in/jayram-prabhuzantye/</t>
  </si>
  <si>
    <t>Tech Mahindra</t>
  </si>
  <si>
    <t>Suncorp Bank Ltd</t>
  </si>
  <si>
    <t>Select</t>
  </si>
  <si>
    <t>HOLD</t>
  </si>
  <si>
    <t>Lakshmi NavyaSree Punuru</t>
  </si>
  <si>
    <t>Immediate</t>
  </si>
  <si>
    <t>lakshminavyapunuru@gmail.com</t>
  </si>
  <si>
    <t>http://linkedin.com/in/lakshmi-navya-sree-p-27b046282/</t>
  </si>
  <si>
    <t>Unipega/systems plus</t>
  </si>
  <si>
    <t>Citibank /Cartex</t>
  </si>
  <si>
    <t>Banking / Retail</t>
  </si>
  <si>
    <t>mid</t>
  </si>
  <si>
    <t>24/ nba/deployment manually/ knowledge on ops manager</t>
  </si>
  <si>
    <t>Rajesh kumar Yella</t>
  </si>
  <si>
    <t>yellarajeshkumar@gmail.com</t>
  </si>
  <si>
    <t>https://www.linkedin.com/in/rajesh-yella-ab07627a/</t>
  </si>
  <si>
    <t>Verizon - Nov 2025</t>
  </si>
  <si>
    <t>Ashwini Kumar Pandey</t>
  </si>
  <si>
    <t>Pass (Onsite)</t>
  </si>
  <si>
    <t>ashwinpandey92@gmail.com</t>
  </si>
  <si>
    <t>https://www.linkedin.com/in/ashwini-pandey-b5565054/</t>
  </si>
  <si>
    <t>Instellars - Mar 2026</t>
  </si>
  <si>
    <t>Verizon</t>
  </si>
  <si>
    <t>Banking/Telecom</t>
  </si>
  <si>
    <t>V24/nba/manual/deployment manager/ops manager</t>
  </si>
  <si>
    <t>referral (ex-pega)</t>
  </si>
  <si>
    <t>VIGNESH R</t>
  </si>
  <si>
    <t>LWD 4 Fe 2026</t>
  </si>
  <si>
    <t>vigneshvrs89@gmail.com</t>
  </si>
  <si>
    <t>https://www.linkedin.com/in/vignesh-r-a32308161/</t>
  </si>
  <si>
    <t>AMEX/HSBC/Phyzer</t>
  </si>
  <si>
    <t>Healthcare / Banking</t>
  </si>
  <si>
    <t>23/nba/manual deployemtn</t>
  </si>
  <si>
    <t>Suresh Koya</t>
  </si>
  <si>
    <t>https://www.linkedin.com/in/venkata-suresh-koya-9116ab375/</t>
  </si>
  <si>
    <t>Ai4process, InfoBeans</t>
  </si>
  <si>
    <t>Ommi Santha Ram Kumar</t>
  </si>
  <si>
    <t>45 days</t>
  </si>
  <si>
    <t>santharamkumaro@gmail.com</t>
  </si>
  <si>
    <t>https://www.linkedin.com/in/santha-ram-kumar-5863ab185/</t>
  </si>
  <si>
    <t>Visakhapatnam</t>
  </si>
  <si>
    <t>Visakhapatnam, Hyd</t>
  </si>
  <si>
    <t xml:space="preserve">Infosys </t>
  </si>
  <si>
    <t>Telecom</t>
  </si>
  <si>
    <t>24/manual</t>
  </si>
  <si>
    <t>Ranjith kumar</t>
  </si>
  <si>
    <t>Hold-Bottom</t>
  </si>
  <si>
    <t>LWD 20 Feb 2026</t>
  </si>
  <si>
    <t>ranjith101091@gmail.com</t>
  </si>
  <si>
    <t>https://www.linkedin.com/in/ranjith-kumar-002a573a/</t>
  </si>
  <si>
    <t>LTIMindtree</t>
  </si>
  <si>
    <t>THRYVE Digital</t>
  </si>
  <si>
    <t>23/nba/deployment manager</t>
  </si>
  <si>
    <t>Not good with latest version of CDH, Can Consider For Malaysia Opportunity</t>
  </si>
  <si>
    <t>Dhivyabharathi Ravi</t>
  </si>
  <si>
    <t>rdhivyabharathi99@gmail.com</t>
  </si>
  <si>
    <t>https://www.linkedin.com/in/dhivyabharathi-ravi-3049aa253/</t>
  </si>
  <si>
    <t>IQZ System</t>
  </si>
  <si>
    <t>Primerica Insurance</t>
  </si>
  <si>
    <t>Insurance</t>
  </si>
  <si>
    <t>8/GenAI/POC in 24/nba/deployment manager/ops manager</t>
  </si>
  <si>
    <t xml:space="preserve">Aleka Mogalappu </t>
  </si>
  <si>
    <t>90 days</t>
  </si>
  <si>
    <t>alekyamogallapu333@gmail.com</t>
  </si>
  <si>
    <t>https://www.linkedin.com/in/alekya-mogallapu-019120185  </t>
  </si>
  <si>
    <t>Hyderabad</t>
  </si>
  <si>
    <t>hyd</t>
  </si>
  <si>
    <t>capgemini</t>
  </si>
  <si>
    <t>Charter</t>
  </si>
  <si>
    <t>24/deployment manager</t>
  </si>
  <si>
    <t>Paidi Bhuvana</t>
  </si>
  <si>
    <t>bhuvanareddypaidi@gmail.com</t>
  </si>
  <si>
    <t>https://www.linkedin.com/in/paidi-bhuvana-sri-635617247/</t>
  </si>
  <si>
    <t xml:space="preserve">Agreeya solutions </t>
  </si>
  <si>
    <t>telcom</t>
  </si>
  <si>
    <t>8.8/nba/manual</t>
  </si>
  <si>
    <t>Srinivas Thota (Conflicts SC)</t>
  </si>
  <si>
    <t>60 days</t>
  </si>
  <si>
    <t>95509 89143</t>
  </si>
  <si>
    <t>srinivas.t22735@gmail.com</t>
  </si>
  <si>
    <t>www.linkedin.com/in/j-u-sankarsrinivas-thota-b5576b24b</t>
  </si>
  <si>
    <t>Hyderabad / Malaysia</t>
  </si>
  <si>
    <t>Instellars</t>
  </si>
  <si>
    <t>8.8 /manual/Deployment manager</t>
  </si>
  <si>
    <t>BG-NA-?</t>
  </si>
  <si>
    <t>Abhishek Pandey</t>
  </si>
  <si>
    <t>indurthi.devakumar@gmail.com</t>
  </si>
  <si>
    <t>https://www.linkedin.com/in/abhishek-pandey-40277a130/</t>
  </si>
  <si>
    <t>VOIS</t>
  </si>
  <si>
    <t>check - 9742953535</t>
  </si>
  <si>
    <t>Sakil Ahamed</t>
  </si>
  <si>
    <t>LWD 17 July 2026</t>
  </si>
  <si>
    <t>sakil.pega.architect@gmail.com</t>
  </si>
  <si>
    <t>https://www.linkedin.com/in/sakil-ahamed-22a75b1a7/</t>
  </si>
  <si>
    <t xml:space="preserve">Capgemini  </t>
  </si>
  <si>
    <t>Chilla HarshaVardhan</t>
  </si>
  <si>
    <t>60 (immediate)</t>
  </si>
  <si>
    <t>harshavardhanchilla@gmail.com</t>
  </si>
  <si>
    <t>https://www.linkedin.com/in/harsha-vardhan-chilla-8920b51a5/</t>
  </si>
  <si>
    <t>Ai4process</t>
  </si>
  <si>
    <t xml:space="preserve">verizon </t>
  </si>
  <si>
    <t>24/nba/deployment manager</t>
  </si>
  <si>
    <t xml:space="preserve"> Came from Ai4 Process </t>
  </si>
  <si>
    <t>Ramakrishna Kareti</t>
  </si>
  <si>
    <t xml:space="preserve">ramakrishnakareti123@gmail.com </t>
  </si>
  <si>
    <t>https://www.linkedin.com/in/ramakrishna-kareti-7b2645217</t>
  </si>
  <si>
    <t>telecom</t>
  </si>
  <si>
    <t>Deployment exp</t>
  </si>
  <si>
    <t>Mayank Tripathi</t>
  </si>
  <si>
    <t>mayank.pega25@gmail.com</t>
  </si>
  <si>
    <t>https://www.linkedin.com/in/mayank-tripathi-91611321b/</t>
  </si>
  <si>
    <t>Capgemini, DCS from Dec 2025</t>
  </si>
  <si>
    <t>Ventree/BT group</t>
  </si>
  <si>
    <t>Naveed Shaik</t>
  </si>
  <si>
    <t xml:space="preserve">Hold  </t>
  </si>
  <si>
    <t>90( 30)</t>
  </si>
  <si>
    <t>shaiknaveed1003@gmail.com</t>
  </si>
  <si>
    <t>https://www.linkedin.com/in/naveed-shaik-459a34196/</t>
  </si>
  <si>
    <t>24/nba/manual deployment</t>
  </si>
  <si>
    <t>Suresh Mandava</t>
  </si>
  <si>
    <t>suresh.mandava@instellars.com</t>
  </si>
  <si>
    <t>https://www.linkedin.com/in/suresh-mandava-19278327/</t>
  </si>
  <si>
    <t>xxxxxxxxxx</t>
  </si>
  <si>
    <t>xxxxxxxxxxxxxxxx</t>
  </si>
  <si>
    <t>90 (Nego)</t>
  </si>
  <si>
    <t>Vaibhav Sanghai</t>
  </si>
  <si>
    <t>45(nego)</t>
  </si>
  <si>
    <t>vaibhavsanghai23@gmail.com</t>
  </si>
  <si>
    <t>https://www.linkedin.com/in/vaibhav-sanghai-6655a5203</t>
  </si>
  <si>
    <t>Verizon /ZontiFinance</t>
  </si>
  <si>
    <t>no certification</t>
  </si>
  <si>
    <t>8.6/nba/deployment manager</t>
  </si>
  <si>
    <r>
      <rPr>
        <sz val="11"/>
        <color rgb="FF000000"/>
        <rFont val="Calibri"/>
        <scheme val="minor"/>
      </rPr>
      <t xml:space="preserve">Rohit Kumar Singh - </t>
    </r>
    <r>
      <rPr>
        <b/>
        <sz val="11"/>
        <color rgb="FFED7D31"/>
        <rFont val="Calibri"/>
        <scheme val="minor"/>
      </rPr>
      <t>LDA</t>
    </r>
  </si>
  <si>
    <t>42K AED/month + Benefits</t>
  </si>
  <si>
    <t>UAE  +971 55 954 0074</t>
  </si>
  <si>
    <t>Rohit1.singh@live.com</t>
  </si>
  <si>
    <t>https://www.linkedin.com/in/rohitsingh021/</t>
  </si>
  <si>
    <t xml:space="preserve">Du telecomm </t>
  </si>
  <si>
    <t xml:space="preserve">23/ </t>
  </si>
  <si>
    <t>Jaideep Deshi</t>
  </si>
  <si>
    <t>1.2 CPA</t>
  </si>
  <si>
    <t>Rejected Risk</t>
  </si>
  <si>
    <t>Deshi.jaideep@gmail.com</t>
  </si>
  <si>
    <t>https://www.linkedin.com/in/jaideep-deshi-503288b8/</t>
  </si>
  <si>
    <t>txxxxxx</t>
  </si>
  <si>
    <t>x</t>
  </si>
  <si>
    <t>High Risk - currently SCB</t>
  </si>
  <si>
    <t>Sahith Uppaluri - not available</t>
  </si>
  <si>
    <t>uppalurisahith@gmail.com</t>
  </si>
  <si>
    <t>https://www.linkedin.com/in/sahith-uppaluri/</t>
  </si>
  <si>
    <t>Mid</t>
  </si>
  <si>
    <t>24/ nba stategies /manual Deployment eager to learn Ops manager</t>
  </si>
  <si>
    <t>Alekya Mogallapu</t>
  </si>
  <si>
    <t>https://www.linkedin.com/in/alekya-mogallapu-019120185/</t>
  </si>
  <si>
    <t xml:space="preserve">Sukant Kumar Swain </t>
  </si>
  <si>
    <t>psukant2369@gmail.com</t>
  </si>
  <si>
    <t>https://www.linkedin.com/in/sukant-kumar-swain-73293010a/</t>
  </si>
  <si>
    <t>xxxxxxxx</t>
  </si>
  <si>
    <t>Veerendra Cherukumalli</t>
  </si>
  <si>
    <t>veerach15.pega@gmail.com</t>
  </si>
  <si>
    <t>https://www.linkedin.com/in/veerendra-cherukumalli-279512211/</t>
  </si>
  <si>
    <t xml:space="preserve">LTIMindtree </t>
  </si>
  <si>
    <t>Nordia</t>
  </si>
  <si>
    <t>Surya K J</t>
  </si>
  <si>
    <t>LWD June 15</t>
  </si>
  <si>
    <t>kjsurya2020@gmail.com</t>
  </si>
  <si>
    <t>https://www.linkedin.com/in/k-j-surya/</t>
  </si>
  <si>
    <t>Chennai</t>
  </si>
  <si>
    <t>Chn/Bng</t>
  </si>
  <si>
    <t>Cognizant</t>
  </si>
  <si>
    <t>24/nba/</t>
  </si>
  <si>
    <t>Kovid Dasari</t>
  </si>
  <si>
    <t xml:space="preserve">kovid.dasari1998@gmail.com </t>
  </si>
  <si>
    <t>https://www.linkedin.com/in/kovid-dasari-808798188/</t>
  </si>
  <si>
    <t>xxxxxxxxxxxxx</t>
  </si>
  <si>
    <t>Srikanth Koduru</t>
  </si>
  <si>
    <t xml:space="preserve">srikantharjun22@gmail.com </t>
  </si>
  <si>
    <t xml:space="preserve">https://www.linkedin.com/in/srikanthkoduru/ </t>
  </si>
  <si>
    <t>verizon</t>
  </si>
  <si>
    <t>24/nba/manual deployement</t>
  </si>
  <si>
    <t>surname - kodali?</t>
  </si>
  <si>
    <t>Prathap Narayan</t>
  </si>
  <si>
    <t>Hold</t>
  </si>
  <si>
    <t>aprathapnarayan99@gmail.com</t>
  </si>
  <si>
    <t>https://www.linkedin.com/in/prathap-narayan-a-4a497a14b/</t>
  </si>
  <si>
    <t>Credera</t>
  </si>
  <si>
    <t>NAB</t>
  </si>
  <si>
    <t>top</t>
  </si>
  <si>
    <t>Abinaya Elumalai</t>
  </si>
  <si>
    <t>immediate(LWD Dec2025)</t>
  </si>
  <si>
    <t>esabinaya10@gmail.com</t>
  </si>
  <si>
    <t>https://www.linkedin.com/in/abinaya-elumalai/</t>
  </si>
  <si>
    <t>v24/nba/manual</t>
  </si>
  <si>
    <t>Deva Kumar</t>
  </si>
  <si>
    <t>linkedin.com/in/deva-indurthi-7153aa206</t>
  </si>
  <si>
    <t>Ramireddy Harsha Vardhan Reddy</t>
  </si>
  <si>
    <t>harshavardhanramireddy3@gmail.com</t>
  </si>
  <si>
    <t>https://www.linkedin.com/in/harsharamireddy67/</t>
  </si>
  <si>
    <t>Verison, Vodafone</t>
  </si>
  <si>
    <t>8.6, 24</t>
  </si>
  <si>
    <t>Nithin - Not Available</t>
  </si>
  <si>
    <t>nithinkatepally@gmail.com</t>
  </si>
  <si>
    <t>https://www.linkedin.com/in/katepally-nithin-8131691ba/</t>
  </si>
  <si>
    <t xml:space="preserve"> Uni-Pega </t>
  </si>
  <si>
    <t>BG-NA-RJ</t>
  </si>
  <si>
    <t>Pavan Madana</t>
  </si>
  <si>
    <t>https://www.linkedin.com/in/pavan-madana-6b52691a1/</t>
  </si>
  <si>
    <t>hyd/bang/chn</t>
  </si>
  <si>
    <t xml:space="preserve"> CollabPartnerz </t>
  </si>
  <si>
    <t>24/deployment and manual</t>
  </si>
  <si>
    <t>Vijaya Bhaskar</t>
  </si>
  <si>
    <t xml:space="preserve">sasapuvijayabhaskar@gmail.com </t>
  </si>
  <si>
    <t>https://www.linkedin.com/in/vijaya-bhaskar-sasapu-0796691b3/</t>
  </si>
  <si>
    <t>Deployment done</t>
  </si>
  <si>
    <t>Praveen Babu Desappan</t>
  </si>
  <si>
    <t>praveenbabu91@gmail.com</t>
  </si>
  <si>
    <t>https://www.linkedin.com/in/praveenbabu91/</t>
  </si>
  <si>
    <t>Gardas Chandra Shekar - Not available</t>
  </si>
  <si>
    <t>gchandu605@gmail.com</t>
  </si>
  <si>
    <t>https://www.linkedin.com/in/chandra-shekar-gardas-267455227/</t>
  </si>
  <si>
    <t>DCS</t>
  </si>
  <si>
    <t xml:space="preserve">Balaji Tiruveedula </t>
  </si>
  <si>
    <t>balajitiruveedula8309@gmail.com</t>
  </si>
  <si>
    <t>https://www.linkedin.com/in/balajitiruveedula/</t>
  </si>
  <si>
    <t>Deloitee</t>
  </si>
  <si>
    <t>Jatka - saudi govt - Telecom(Verizon)</t>
  </si>
  <si>
    <t>Prema Sidharthar</t>
  </si>
  <si>
    <t xml:space="preserve">premasidharthar08@gmail.com	</t>
  </si>
  <si>
    <t>https://www.linkedin.com/in/prema-sidharthar-25abb336/</t>
  </si>
  <si>
    <t xml:space="preserve">Banking/Telecom </t>
  </si>
  <si>
    <t>nba/</t>
  </si>
  <si>
    <t xml:space="preserve">Harika Patil </t>
  </si>
  <si>
    <t>immediately</t>
  </si>
  <si>
    <t>harikareddypatil526@gmail.com</t>
  </si>
  <si>
    <t>https://www.linkedin.com/in/harikapat/</t>
  </si>
  <si>
    <t>hyd/bang</t>
  </si>
  <si>
    <t>Enigma metaverse</t>
  </si>
  <si>
    <t>Beni Insurance</t>
  </si>
  <si>
    <t>Insurance, Banking</t>
  </si>
  <si>
    <t xml:space="preserve">NBA Analyst| Ops Manager|Deployment |Banking </t>
  </si>
  <si>
    <t>Anand S</t>
  </si>
  <si>
    <t>90(nego)</t>
  </si>
  <si>
    <t xml:space="preserve">anandarone@gmail.com </t>
  </si>
  <si>
    <t>https://www.linkedin.com/in/anand-sivakumar/</t>
  </si>
  <si>
    <t>chausciaf/HSBC</t>
  </si>
  <si>
    <t xml:space="preserve">Banking </t>
  </si>
  <si>
    <t>cdh-8.4....cource 24</t>
  </si>
  <si>
    <t xml:space="preserve">Addanki Venkata Dileep </t>
  </si>
  <si>
    <t>addankipega7@gmail.com</t>
  </si>
  <si>
    <t>https://www.linkedin.com/in/venkata-dileep-addanki-8024a6169/</t>
  </si>
  <si>
    <t>HCL</t>
  </si>
  <si>
    <t>NATWEST uk bank</t>
  </si>
  <si>
    <t xml:space="preserve">Rahul Rudrabhatla </t>
  </si>
  <si>
    <t>xxxxxx</t>
  </si>
  <si>
    <t xml:space="preserve">Rudrabhatlarahul1999@gmail.com </t>
  </si>
  <si>
    <t>https://www.linkedin.com/in/rahul-rudrabhatla-520208180/</t>
  </si>
  <si>
    <t xml:space="preserve">Marghoob Alam Khan </t>
  </si>
  <si>
    <t>mk.pega2019@gmail.com</t>
  </si>
  <si>
    <t>https://www.linkedin.com/in/marghoob-khan-933647126/</t>
  </si>
  <si>
    <t>Capgemini</t>
  </si>
  <si>
    <t>ANZ</t>
  </si>
  <si>
    <t xml:space="preserve">Banking/ Telecom/Insurance </t>
  </si>
  <si>
    <t>25/</t>
  </si>
  <si>
    <t>Senthil Raj</t>
  </si>
  <si>
    <t>90(Nego)</t>
  </si>
  <si>
    <t>senthilrajssk@gmail.com</t>
  </si>
  <si>
    <t>linkedin.com/in/senthilraj10</t>
  </si>
  <si>
    <t>Citibank</t>
  </si>
  <si>
    <t>initial - s? - reject</t>
  </si>
  <si>
    <t>Vaibhav Jagatkar CLDA</t>
  </si>
  <si>
    <t>Standard Chat</t>
  </si>
  <si>
    <t>https://www.linkedin.com/in/vaibhavjagatkar115/</t>
  </si>
  <si>
    <t>SCB</t>
  </si>
  <si>
    <t>BG-AV-Conflict</t>
  </si>
  <si>
    <r>
      <rPr>
        <sz val="11"/>
        <color rgb="FF000000"/>
        <rFont val="Calibri"/>
        <scheme val="minor"/>
      </rPr>
      <t>Roopesh Kaja-</t>
    </r>
    <r>
      <rPr>
        <b/>
        <sz val="11"/>
        <color rgb="FF000000"/>
        <rFont val="Calibri"/>
        <scheme val="minor"/>
      </rPr>
      <t>Onsite(working-SCB)</t>
    </r>
  </si>
  <si>
    <t>roopeshkaja.rk@gmail.com</t>
  </si>
  <si>
    <t>https://www.linkedin.com/in/roopesh-k-1a9591106/</t>
  </si>
  <si>
    <t>Neostats</t>
  </si>
  <si>
    <t>24/manual/deployment manager</t>
  </si>
  <si>
    <t>Spouse in Singapore. Spouse can relocate to Malaysia</t>
  </si>
  <si>
    <t>AMULYA KUMMITHA</t>
  </si>
  <si>
    <t>amulyakummitha@gmail.com</t>
  </si>
  <si>
    <t>https://www.linkedin.com/in/amulya-kummitha-b48915203/</t>
  </si>
  <si>
    <t>24/manaual</t>
  </si>
  <si>
    <t>Sagar Arumalla - not available</t>
  </si>
  <si>
    <t>sagar.arumalla@outlook.com</t>
  </si>
  <si>
    <t>https://www.linkedin.com/in/sagar-arumalla-7534312b/</t>
  </si>
  <si>
    <t>StaidLogic</t>
  </si>
  <si>
    <t>xxxxxxxxxxxx</t>
  </si>
  <si>
    <t>reffered by Sathvik (heading a Team)</t>
  </si>
  <si>
    <t>Bhaibhav Raj</t>
  </si>
  <si>
    <t>baibhavraj123@gmail.com</t>
  </si>
  <si>
    <t>https://www.linkedin.com/in/baibhavraj/</t>
  </si>
  <si>
    <t>Vodafone</t>
  </si>
  <si>
    <t>8.6 upgraded to 24</t>
  </si>
  <si>
    <t>BG-AV-SELECT</t>
  </si>
  <si>
    <t>Chintalapudi Tejaswini</t>
  </si>
  <si>
    <t>tejaswinichintalapudi18@gmail.com</t>
  </si>
  <si>
    <t>https://www.linkedin.com/in/chintalapudi-tejaswini-4450931ba</t>
  </si>
  <si>
    <t>T-mobile</t>
  </si>
  <si>
    <t>Sumit Dhanegaonkar</t>
  </si>
  <si>
    <t>sumitpatil94051@gmail.com</t>
  </si>
  <si>
    <t>https://www.linkedin.com/in/sumit-dhanegaonkar-95407b189/</t>
  </si>
  <si>
    <t xml:space="preserve">Instellars </t>
  </si>
  <si>
    <t>Guruva</t>
  </si>
  <si>
    <t>LWD May 30</t>
  </si>
  <si>
    <t>83176 54407</t>
  </si>
  <si>
    <t>guruvamirampalli@gmail.com</t>
  </si>
  <si>
    <t>https://www.linkedin.com/in/guruva-rao-m-9804682ba/</t>
  </si>
  <si>
    <t xml:space="preserve">TCS </t>
  </si>
  <si>
    <t>Arun karthick raja</t>
  </si>
  <si>
    <t>60 (30)</t>
  </si>
  <si>
    <r>
      <t>akrnevergiveup@gmail.com</t>
    </r>
    <r>
      <rPr>
        <sz val="10.5"/>
        <color rgb="FF000000"/>
        <rFont val="Times New Roman"/>
        <family val="1"/>
      </rPr>
      <t xml:space="preserve"> </t>
    </r>
  </si>
  <si>
    <t>https://www.linkedin.com/in/arunkarthickraja-n-b46773126/</t>
  </si>
  <si>
    <t>Aswini Tamma</t>
  </si>
  <si>
    <t>aswini.tamma@gmail.com</t>
  </si>
  <si>
    <t>https://www.linkedin.com/in/tamma-naga-aswini-86118a179/</t>
  </si>
  <si>
    <t>Gandla Ravi Kumar - UAE Loc</t>
  </si>
  <si>
    <t>9030840304, +971502338456</t>
  </si>
  <si>
    <t>gk.ravi5@gmail.com</t>
  </si>
  <si>
    <t>Techvista Systems</t>
  </si>
  <si>
    <t>Ojaswini (Ojas) Wagh</t>
  </si>
  <si>
    <t>90(60)</t>
  </si>
  <si>
    <t>Ojas151197@gmail.com</t>
  </si>
  <si>
    <t>https://www.linkedin.com/in/ojaswiniwagh715/</t>
  </si>
  <si>
    <t>Dentsu(Merkle)</t>
  </si>
  <si>
    <t>Estee Laudar</t>
  </si>
  <si>
    <t>Cosmetic</t>
  </si>
  <si>
    <t>8.8 /nba/deployment manager</t>
  </si>
  <si>
    <t>Puchakayala Sushmitha - OffshoreThursday</t>
  </si>
  <si>
    <t>https://www.linkedin.com/in/puchakayala-sushmitha-7b7b25186/</t>
  </si>
  <si>
    <t>verison</t>
  </si>
  <si>
    <t xml:space="preserve">vamsi reddy </t>
  </si>
  <si>
    <t>vamsireddyk2002@gmail.com</t>
  </si>
  <si>
    <t>https://www.linkedin.com/in/vamsi-reddy-k/</t>
  </si>
  <si>
    <t>24 / nba / manual Deployment</t>
  </si>
  <si>
    <t xml:space="preserve">Sindhuja Karamcheti </t>
  </si>
  <si>
    <t>sindhujakaramcheti2000@gmail
.com</t>
  </si>
  <si>
    <t>www.linkedin.com/in/sindhuja
karamcheti-054a56176</t>
  </si>
  <si>
    <t>vodafone</t>
  </si>
  <si>
    <t>vois</t>
  </si>
  <si>
    <t>Sai Naveen Ravuri</t>
  </si>
  <si>
    <t>sainaveen.ravuri@gmail.com</t>
  </si>
  <si>
    <t>https://www.linkedin.com/in/sai-naveen-ravuri-b27b591b2/</t>
  </si>
  <si>
    <t>Ai4Process</t>
  </si>
  <si>
    <t>HSBC</t>
  </si>
  <si>
    <t>Ravikumar Gandla</t>
  </si>
  <si>
    <t>17000 AED /m</t>
  </si>
  <si>
    <t>22000 AED/m</t>
  </si>
  <si>
    <t>surname - matte?</t>
  </si>
  <si>
    <t>Prajakta Sawant</t>
  </si>
  <si>
    <t>Hold ( DA Roles)</t>
  </si>
  <si>
    <t>prajaktasawant288@gmail.com</t>
  </si>
  <si>
    <t>https://www.linkedin.com/in/prajakta-sawant-815291198/</t>
  </si>
  <si>
    <t>Quess corp ltd.</t>
  </si>
  <si>
    <t xml:space="preserve">BIRANCHI PRASAD BARIK </t>
  </si>
  <si>
    <t>PASS (Onsite)</t>
  </si>
  <si>
    <t>pikun2858@gmail.com</t>
  </si>
  <si>
    <t>https://www.linkedin.com/in/biranchi-prasad-barik-7ba749188/</t>
  </si>
  <si>
    <t>subcon-Infosys</t>
  </si>
  <si>
    <t>Ajay Chandra</t>
  </si>
  <si>
    <t>Not available</t>
  </si>
  <si>
    <t>ajaychandragajula@gmail.com</t>
  </si>
  <si>
    <t>https://www.linkedin.com/in/ajay-chandra-gajula-123456789123456789/</t>
  </si>
  <si>
    <t>xxxxxxxxxxxxxx</t>
  </si>
  <si>
    <t>xxxxxxxxxxxxxxxxxxxxxxx</t>
  </si>
  <si>
    <t>Chandra Sekhar N</t>
  </si>
  <si>
    <t>seems over experience</t>
  </si>
  <si>
    <r>
      <rPr>
        <sz val="11"/>
        <color rgb="FF000000"/>
        <rFont val="Calibri"/>
        <scheme val="minor"/>
      </rPr>
      <t xml:space="preserve">RAJITH Alla - </t>
    </r>
    <r>
      <rPr>
        <b/>
        <sz val="11"/>
        <color rgb="FF000000"/>
        <rFont val="Calibri"/>
        <scheme val="minor"/>
      </rPr>
      <t>Only Onsite</t>
    </r>
  </si>
  <si>
    <t>rajithalla9@gmail.com</t>
  </si>
  <si>
    <t>https://www.linkedin.com/in/rajith-alla-72984417a/</t>
  </si>
  <si>
    <t>Blend 360</t>
  </si>
  <si>
    <t>25/manual deployment</t>
  </si>
  <si>
    <t xml:space="preserve">somashivani333@gmail.com </t>
  </si>
  <si>
    <t>https://www.linkedin.com/in/shivani-soma-40ab49283/</t>
  </si>
  <si>
    <t>25/nba/manual deployment</t>
  </si>
  <si>
    <t>Aditi Kulkarni</t>
  </si>
  <si>
    <t>kulkarniaditi869@gmail.com</t>
  </si>
  <si>
    <t>https://www.linkedin.com/in/aditi-kulkarni-5bba61182?utm_source=share_via&amp;utm_content=profile&amp;utm_medium=member_android</t>
  </si>
  <si>
    <t>Pune</t>
  </si>
  <si>
    <t>Pune/Hyd</t>
  </si>
  <si>
    <t>British Telecom</t>
  </si>
  <si>
    <t>Insurance, Telecom</t>
  </si>
  <si>
    <t>24/manual/deplouement manager</t>
  </si>
  <si>
    <t>Vamshi Krishna</t>
  </si>
  <si>
    <t>Pass (Provided)</t>
  </si>
  <si>
    <t>vamshiigitam8031413@gmail.com</t>
  </si>
  <si>
    <t>hyderabad</t>
  </si>
  <si>
    <t>CitiBank</t>
  </si>
  <si>
    <t>Satya Hari Prasad Mundru</t>
  </si>
  <si>
    <t>msatyahariprasad@gmail.com</t>
  </si>
  <si>
    <t>https://www.linkedin.com/in/satya-hari-prasad-mundru-354420183/</t>
  </si>
  <si>
    <t xml:space="preserve">Hyderabad </t>
  </si>
  <si>
    <t>EONNEXT</t>
  </si>
  <si>
    <t>25/nba/manual deployement</t>
  </si>
  <si>
    <t>Swarnali Deb Roy</t>
  </si>
  <si>
    <t>swarnali.jobs1202@gmail.com</t>
  </si>
  <si>
    <t>Moha Saxena</t>
  </si>
  <si>
    <t>Hold (ANZ)</t>
  </si>
  <si>
    <t>60(Nego)</t>
  </si>
  <si>
    <t>mohasaxena14@gmail.com</t>
  </si>
  <si>
    <t>https://www.linkedin.com/in/moha-saxena-1b7628208/</t>
  </si>
  <si>
    <t>hyd/chn/bang</t>
  </si>
  <si>
    <t>Tpg telecom</t>
  </si>
  <si>
    <t>Banking, Telecom</t>
  </si>
  <si>
    <t>24/manual,ops manager</t>
  </si>
  <si>
    <t>Mable Cynthia Jesuraj (Remote)</t>
  </si>
  <si>
    <t>Rejected-BL</t>
  </si>
  <si>
    <t>Paruchuri Prasad</t>
  </si>
  <si>
    <t>xxxxxxxxxxxxxxxxxxxxx</t>
  </si>
  <si>
    <t>FutureProof AI</t>
  </si>
  <si>
    <t>Sevious Health</t>
  </si>
  <si>
    <t>Banking/healthcare/Telecom</t>
  </si>
  <si>
    <t>Sairam Yalla</t>
  </si>
  <si>
    <t>yallasairam1@gmail.com</t>
  </si>
  <si>
    <t>Instellar</t>
  </si>
  <si>
    <t>Hariteja Nagisetty</t>
  </si>
  <si>
    <t>hariteja.nagisetty@gmail.com</t>
  </si>
  <si>
    <t>https://www.linkedin.com/in/hariteja-nagisetty-26377625b</t>
  </si>
  <si>
    <t>ready to move</t>
  </si>
  <si>
    <t>Canadian BFSI</t>
  </si>
  <si>
    <t xml:space="preserve">MANOHAR LAKKAM </t>
  </si>
  <si>
    <t>Aruna Miridoddy</t>
  </si>
  <si>
    <t>maruna024@gmail.com</t>
  </si>
  <si>
    <t>www.linkedin.com/in/aruna-miridoddy</t>
  </si>
  <si>
    <t>Excellus</t>
  </si>
  <si>
    <t xml:space="preserve">Interview </t>
  </si>
  <si>
    <t xml:space="preserve">Manisha Vudugu </t>
  </si>
  <si>
    <t>84658 34944</t>
  </si>
  <si>
    <t>manisha.vudugu@gmail.com</t>
  </si>
  <si>
    <t>https://www.linkedin.com/in/manisha-vudugu/</t>
  </si>
  <si>
    <t xml:space="preserve">Sindhu Patimedi </t>
  </si>
  <si>
    <t>psindhureddy19@gmail.com</t>
  </si>
  <si>
    <t>8/nba/deployment manager</t>
  </si>
  <si>
    <t>Deepika Ilangovan</t>
  </si>
  <si>
    <t>LWD Nov 2025</t>
  </si>
  <si>
    <t>63827 75369</t>
  </si>
  <si>
    <t>deepikailangovan@gmail.com</t>
  </si>
  <si>
    <t>coimbatore</t>
  </si>
  <si>
    <t>bang/Chennai</t>
  </si>
  <si>
    <t>Common wealth Bank</t>
  </si>
  <si>
    <t>banking</t>
  </si>
  <si>
    <t>Afroze Jahan Shaik</t>
  </si>
  <si>
    <t xml:space="preserve">Telecom </t>
  </si>
  <si>
    <t>Priya Sridharan - offshore (next week)</t>
  </si>
  <si>
    <t>99430 08978</t>
  </si>
  <si>
    <t>priyasrm20@gmail.com</t>
  </si>
  <si>
    <t>chennai</t>
  </si>
  <si>
    <t>Ai4Process </t>
  </si>
  <si>
    <t>25/nba/ops manager</t>
  </si>
  <si>
    <t>Sonu Verma</t>
  </si>
  <si>
    <t>iamsonuverma97@gmail.com</t>
  </si>
  <si>
    <t>linkedin.com/in/sonukv</t>
  </si>
  <si>
    <t>bang</t>
  </si>
  <si>
    <t>Darbasth Deepak</t>
  </si>
  <si>
    <t>7036903928   </t>
  </si>
  <si>
    <t>deepakdarbasth@gmail.com</t>
  </si>
  <si>
    <t>www.linkedin.com/in/darbasthdeepak  </t>
  </si>
  <si>
    <t>Nizamabad</t>
  </si>
  <si>
    <t>24/ops manager</t>
  </si>
  <si>
    <t>Yashovardhan M</t>
  </si>
  <si>
    <t>yashovardhanmakkala@gmail.com</t>
  </si>
  <si>
    <t>https://www.linkedin.com/in/makkala-yashovardhan</t>
  </si>
  <si>
    <t xml:space="preserve">Randstad Digital </t>
  </si>
  <si>
    <t>CVS Health</t>
  </si>
  <si>
    <t>Deepika Chiluveru</t>
  </si>
  <si>
    <t>deepikachiluveru.rs@gmail.com</t>
  </si>
  <si>
    <t xml:space="preserve">www.linkedin.com/in/deepika </t>
  </si>
  <si>
    <t>virtusa</t>
  </si>
  <si>
    <t>Allied Solutions</t>
  </si>
  <si>
    <t>8.8/manual</t>
  </si>
  <si>
    <t>Alugoju Jayakesh</t>
  </si>
  <si>
    <t>jayakesh.alugoju294@gmail.com</t>
  </si>
  <si>
    <t>Hyd/bang</t>
  </si>
  <si>
    <t>Blend 360 pvt ltd</t>
  </si>
  <si>
    <t>US-Based Clients</t>
  </si>
  <si>
    <t>Banking, Insurance</t>
  </si>
  <si>
    <t>manual/Deployment/ops manager</t>
  </si>
  <si>
    <t>referral (onsite)</t>
  </si>
  <si>
    <t>Uma Mahesh Kotipalli</t>
  </si>
  <si>
    <t>umamaheshkotipalli04@gmail.com</t>
  </si>
  <si>
    <t>8.8, 23</t>
  </si>
  <si>
    <t>Sivaprasad Doneti</t>
  </si>
  <si>
    <t>LWD 30 May</t>
  </si>
  <si>
    <t>doneti.prasad@gmail.com</t>
  </si>
  <si>
    <t>Chennai/Hyd</t>
  </si>
  <si>
    <t>Standard Charted Bank</t>
  </si>
  <si>
    <t>Banking/HealthCare/Telecom</t>
  </si>
  <si>
    <t>24/deployment manager/ops manager</t>
  </si>
  <si>
    <t>Venkata Karthik</t>
  </si>
  <si>
    <t>LWD May 21</t>
  </si>
  <si>
    <t>karthiknayi1@gmail.com</t>
  </si>
  <si>
    <t>https://www.linkedin.com/in/venkata-karthik-206702364/</t>
  </si>
  <si>
    <t>VG (Value gender)</t>
  </si>
  <si>
    <t>8.8/ops manager</t>
  </si>
  <si>
    <t>andhanapalli?</t>
  </si>
  <si>
    <t>Harsh - Onsite</t>
  </si>
  <si>
    <t>8586856303    </t>
  </si>
  <si>
    <t xml:space="preserve"> harsh9347@yahoo.com</t>
  </si>
  <si>
    <t>Harsh . | LinkedIn</t>
  </si>
  <si>
    <t>Gurgaon</t>
  </si>
  <si>
    <t>Midland Credit Management</t>
  </si>
  <si>
    <t>BG-AV-NA</t>
  </si>
  <si>
    <t>Rahul Dusane</t>
  </si>
  <si>
    <t>rsd161093@gmail.com</t>
  </si>
  <si>
    <t>Rahul Dusane | LinkedIn</t>
  </si>
  <si>
    <t>pune</t>
  </si>
  <si>
    <t>malaysia</t>
  </si>
  <si>
    <t>LTM</t>
  </si>
  <si>
    <t>Nordea Bank</t>
  </si>
  <si>
    <t xml:space="preserve">Banking and insurance </t>
  </si>
  <si>
    <t>Keerthana RM</t>
  </si>
  <si>
    <t>keerthanarm4@gmail.com</t>
  </si>
  <si>
    <t>Pondichery</t>
  </si>
  <si>
    <t>chn/bang</t>
  </si>
  <si>
    <t>24/ no deployment exp</t>
  </si>
  <si>
    <t>Saranyadevi</t>
  </si>
  <si>
    <t>6379255396   </t>
  </si>
  <si>
    <t>saranyadevic15@gmail.com</t>
  </si>
  <si>
    <t>chn.bang</t>
  </si>
  <si>
    <t>Rimzim Sharma</t>
  </si>
  <si>
    <t>9669672887 </t>
  </si>
  <si>
    <t>rimzim.sharma1997@gmail.com</t>
  </si>
  <si>
    <t>https://www.linkedin.com/in/rimzim-sharma/</t>
  </si>
  <si>
    <t>Windtre</t>
  </si>
  <si>
    <t>25/Manual deployment and jenkins pipeline</t>
  </si>
  <si>
    <t>Teja Midathani</t>
  </si>
  <si>
    <t>midathaninagateja@gmail.com</t>
  </si>
  <si>
    <t>Srujan Reddy Manthur - USA</t>
  </si>
  <si>
    <t>Kiranmai</t>
  </si>
  <si>
    <t>8919477840  </t>
  </si>
  <si>
    <t>kiranmainjl29@gmail.com</t>
  </si>
  <si>
    <t>Kiranmai N</t>
  </si>
  <si>
    <t>TechMahindra</t>
  </si>
  <si>
    <t>scopia</t>
  </si>
  <si>
    <t>Rahul Y</t>
  </si>
  <si>
    <t>9337860104    </t>
  </si>
  <si>
    <t>rahul2002303@gmail.com</t>
  </si>
  <si>
    <t> https://www.linkedin.com/in/yernagula-rahul-73746b199?utm_source=share_via&amp;utm_content=profile&amp;utm_medium=member_android</t>
  </si>
  <si>
    <t>Aritra Paul</t>
  </si>
  <si>
    <t>paularitra18@gmail.com</t>
  </si>
  <si>
    <t>https://www.linkedin.com/in/aritra-paul-5a89a0181</t>
  </si>
  <si>
    <t>kolkatta</t>
  </si>
  <si>
    <t>hyd/bang/chn/pune/odisha/delhi</t>
  </si>
  <si>
    <t>Aegon UK</t>
  </si>
  <si>
    <t xml:space="preserve">banking and insurance </t>
  </si>
  <si>
    <t>Sai Suresh Kongar</t>
  </si>
  <si>
    <t>sureshkongara1997@gmail.com</t>
  </si>
  <si>
    <t>https://www.linkedin.com/in/kongara-saisuresh-aa220a147?utm_source=share_via&amp;utm_content=profile&amp;utm_medium=member_android</t>
  </si>
  <si>
    <t>infosys</t>
  </si>
  <si>
    <t>Mahitha Esampally</t>
  </si>
  <si>
    <t>mahithaesampally@gmail.com</t>
  </si>
  <si>
    <t>www.linkedin.com/in/mahitha-esampally</t>
  </si>
  <si>
    <t>hyd/bang/chnCTS</t>
  </si>
  <si>
    <t>Suryadeep Das</t>
  </si>
  <si>
    <t>Maneendra Gudivada - not available</t>
  </si>
  <si>
    <t>LWD mar 13</t>
  </si>
  <si>
    <t>gmaneendra1995@gmail.com</t>
  </si>
  <si>
    <t>hyd,bang,chn</t>
  </si>
  <si>
    <t>Ai4Proces</t>
  </si>
  <si>
    <t>Eonnext</t>
  </si>
  <si>
    <t>24/nba/manual/have an idea</t>
  </si>
  <si>
    <t>PONNADA GOVINDA RAJU</t>
  </si>
  <si>
    <t xml:space="preserve">rajuponnada027@gmail.com </t>
  </si>
  <si>
    <t>23/deployment manager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</si>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</sst>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44536A"/>
      <name val="Calibri"/>
      <family val="2"/>
      <scheme val="minor"/>
    </font>
    <font>
      <sz val="10"/>
      <color rgb="FF000000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sz val="10.5"/>
      <color rgb="FF000000"/>
      <name val="Times New Roman"/>
      <family val="1"/>
    </font>
    <font>
      <u/>
      <sz val="10.5"/>
      <color rgb="FF000080"/>
      <name val="Times New Roman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111111"/>
      <name val="Calibri"/>
      <family val="2"/>
      <charset val="1"/>
    </font>
    <font>
      <sz val="11"/>
      <color theme="10"/>
      <name val="Calibri"/>
      <family val="2"/>
    </font>
    <font>
      <sz val="12"/>
      <color theme="1"/>
      <name val="Aptos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trike/>
      <sz val="11"/>
      <color rgb="FF111111"/>
      <name val="Calibri"/>
      <family val="2"/>
      <charset val="1"/>
    </font>
    <font>
      <u/>
      <sz val="11"/>
      <color rgb="FF0563C1"/>
      <name val="Calibri"/>
      <family val="2"/>
    </font>
    <font>
      <sz val="10"/>
      <color rgb="FF000000"/>
      <name val="Times New Roman"/>
      <family val="1"/>
    </font>
    <font>
      <sz val="11"/>
      <color theme="1"/>
      <name val="-Apple-System"/>
      <charset val="1"/>
    </font>
    <font>
      <strike/>
      <sz val="11"/>
      <color theme="10"/>
      <name val="Calibri"/>
      <family val="2"/>
    </font>
    <font>
      <b/>
      <sz val="11"/>
      <color rgb="FFED7D31"/>
      <name val="Calibri"/>
      <scheme val="minor"/>
    </font>
    <font>
      <strike/>
      <sz val="11"/>
      <color rgb="FF000000"/>
      <name val="Calibri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trike/>
      <sz val="10"/>
      <color theme="1"/>
      <name val="Times New Roman"/>
      <family val="1"/>
    </font>
    <font>
      <strike/>
      <sz val="11"/>
      <color rgb="FF000000"/>
      <name val="Calibri"/>
      <family val="2"/>
    </font>
    <font>
      <sz val="12"/>
      <color rgb="FF000000"/>
      <name val="Aptos"/>
      <charset val="1"/>
    </font>
    <font>
      <sz val="11"/>
      <color rgb="FF313131"/>
      <name val="-Apple-System"/>
      <charset val="1"/>
    </font>
    <font>
      <sz val="11"/>
      <color rgb="FF242424"/>
      <name val="Segoe UI"/>
      <charset val="1"/>
    </font>
    <font>
      <strike/>
      <u/>
      <sz val="11"/>
      <color theme="1"/>
      <name val="Calibri"/>
      <family val="2"/>
      <scheme val="minor"/>
    </font>
    <font>
      <strike/>
      <sz val="10"/>
      <color rgb="FF111111"/>
      <name val="Times New Roman"/>
      <family val="1"/>
    </font>
    <font>
      <sz val="11"/>
      <color rgb="FF000000"/>
      <name val="Aptos"/>
      <charset val="1"/>
    </font>
    <font>
      <strike/>
      <sz val="12"/>
      <color rgb="FF000000"/>
      <name val="Aptos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0">
    <xf numFmtId="0" fontId="0" fillId="0" borderId="0" xfId="0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1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0" fontId="0" fillId="0" borderId="0" xfId="0" applyNumberFormat="1"/>
    <xf numFmtId="0" fontId="0" fillId="0" borderId="3" xfId="0" applyBorder="1"/>
    <xf numFmtId="0" fontId="4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1" fillId="0" borderId="3" xfId="1" applyBorder="1"/>
    <xf numFmtId="0" fontId="11" fillId="0" borderId="3" xfId="1" applyBorder="1" applyProtection="1"/>
    <xf numFmtId="0" fontId="14" fillId="0" borderId="3" xfId="1" applyFont="1" applyBorder="1" applyAlignment="1" applyProtection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11" fillId="0" borderId="4" xfId="1" applyBorder="1"/>
    <xf numFmtId="0" fontId="0" fillId="0" borderId="4" xfId="0" applyBorder="1" applyAlignment="1">
      <alignment horizontal="center"/>
    </xf>
    <xf numFmtId="10" fontId="4" fillId="0" borderId="1" xfId="0" applyNumberFormat="1" applyFont="1" applyBorder="1"/>
    <xf numFmtId="10" fontId="4" fillId="0" borderId="4" xfId="0" applyNumberFormat="1" applyFont="1" applyBorder="1"/>
    <xf numFmtId="0" fontId="4" fillId="0" borderId="4" xfId="0" applyFont="1" applyBorder="1"/>
    <xf numFmtId="10" fontId="4" fillId="0" borderId="3" xfId="0" applyNumberFormat="1" applyFont="1" applyBorder="1"/>
    <xf numFmtId="0" fontId="4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wrapText="1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6" fillId="0" borderId="1" xfId="0" applyFont="1" applyBorder="1"/>
    <xf numFmtId="0" fontId="11" fillId="0" borderId="1" xfId="1" applyFill="1" applyBorder="1"/>
    <xf numFmtId="0" fontId="6" fillId="0" borderId="1" xfId="0" applyFont="1" applyBorder="1" applyAlignment="1">
      <alignment horizontal="center"/>
    </xf>
    <xf numFmtId="0" fontId="4" fillId="2" borderId="1" xfId="0" applyFont="1" applyFill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 vertical="top"/>
    </xf>
    <xf numFmtId="0" fontId="17" fillId="0" borderId="3" xfId="0" applyFont="1" applyBorder="1"/>
    <xf numFmtId="0" fontId="17" fillId="0" borderId="3" xfId="0" applyFont="1" applyBorder="1" applyAlignment="1">
      <alignment horizontal="center"/>
    </xf>
    <xf numFmtId="10" fontId="0" fillId="0" borderId="3" xfId="0" applyNumberFormat="1" applyBorder="1"/>
    <xf numFmtId="0" fontId="0" fillId="0" borderId="6" xfId="0" applyBorder="1"/>
    <xf numFmtId="0" fontId="0" fillId="0" borderId="6" xfId="0" applyBorder="1" applyAlignment="1">
      <alignment horizontal="right"/>
    </xf>
    <xf numFmtId="10" fontId="4" fillId="0" borderId="6" xfId="0" applyNumberFormat="1" applyFont="1" applyBorder="1"/>
    <xf numFmtId="0" fontId="4" fillId="0" borderId="6" xfId="0" applyFont="1" applyBorder="1"/>
    <xf numFmtId="0" fontId="0" fillId="0" borderId="6" xfId="0" applyBorder="1" applyAlignment="1">
      <alignment horizontal="center"/>
    </xf>
    <xf numFmtId="10" fontId="0" fillId="0" borderId="6" xfId="0" applyNumberFormat="1" applyBorder="1"/>
    <xf numFmtId="0" fontId="0" fillId="3" borderId="3" xfId="0" applyFill="1" applyBorder="1" applyAlignment="1">
      <alignment horizontal="center"/>
    </xf>
    <xf numFmtId="10" fontId="19" fillId="0" borderId="3" xfId="0" applyNumberFormat="1" applyFont="1" applyBorder="1"/>
    <xf numFmtId="0" fontId="19" fillId="0" borderId="3" xfId="0" applyFont="1" applyBorder="1"/>
    <xf numFmtId="0" fontId="2" fillId="0" borderId="0" xfId="0" applyFont="1"/>
    <xf numFmtId="0" fontId="17" fillId="0" borderId="0" xfId="0" applyFont="1"/>
    <xf numFmtId="0" fontId="17" fillId="0" borderId="1" xfId="0" applyFont="1" applyBorder="1"/>
    <xf numFmtId="0" fontId="11" fillId="0" borderId="6" xfId="1" applyBorder="1"/>
    <xf numFmtId="0" fontId="11" fillId="0" borderId="6" xfId="1" applyFill="1" applyBorder="1"/>
    <xf numFmtId="0" fontId="6" fillId="0" borderId="3" xfId="0" applyFont="1" applyBorder="1"/>
    <xf numFmtId="0" fontId="9" fillId="0" borderId="3" xfId="0" applyFont="1" applyBorder="1"/>
    <xf numFmtId="0" fontId="6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7" xfId="1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4" fillId="0" borderId="11" xfId="0" applyFont="1" applyBorder="1"/>
    <xf numFmtId="0" fontId="4" fillId="0" borderId="11" xfId="0" applyFont="1" applyBorder="1" applyAlignment="1">
      <alignment horizontal="left" wrapText="1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1" applyFill="1" applyBorder="1"/>
    <xf numFmtId="0" fontId="11" fillId="0" borderId="3" xfId="1" applyFill="1" applyBorder="1" applyProtection="1"/>
    <xf numFmtId="0" fontId="15" fillId="0" borderId="3" xfId="1" applyFont="1" applyFill="1" applyBorder="1" applyAlignment="1" applyProtection="1">
      <alignment horizontal="center"/>
    </xf>
    <xf numFmtId="0" fontId="11" fillId="0" borderId="7" xfId="1" applyFill="1" applyBorder="1" applyAlignment="1">
      <alignment horizontal="center"/>
    </xf>
    <xf numFmtId="0" fontId="20" fillId="0" borderId="0" xfId="0" applyFont="1"/>
    <xf numFmtId="0" fontId="4" fillId="4" borderId="1" xfId="0" applyFont="1" applyFill="1" applyBorder="1"/>
    <xf numFmtId="9" fontId="4" fillId="0" borderId="1" xfId="0" applyNumberFormat="1" applyFont="1" applyBorder="1"/>
    <xf numFmtId="0" fontId="22" fillId="0" borderId="3" xfId="0" applyFont="1" applyBorder="1" applyAlignment="1">
      <alignment horizontal="right"/>
    </xf>
    <xf numFmtId="10" fontId="23" fillId="0" borderId="3" xfId="0" applyNumberFormat="1" applyFont="1" applyBorder="1"/>
    <xf numFmtId="0" fontId="23" fillId="0" borderId="3" xfId="0" applyFont="1" applyBorder="1"/>
    <xf numFmtId="0" fontId="22" fillId="0" borderId="3" xfId="0" applyFont="1" applyBorder="1" applyAlignment="1">
      <alignment horizontal="center"/>
    </xf>
    <xf numFmtId="0" fontId="24" fillId="0" borderId="3" xfId="1" applyFont="1" applyBorder="1"/>
    <xf numFmtId="0" fontId="24" fillId="0" borderId="3" xfId="1" applyFont="1" applyBorder="1" applyProtection="1"/>
    <xf numFmtId="0" fontId="25" fillId="0" borderId="3" xfId="1" applyFont="1" applyBorder="1" applyAlignment="1" applyProtection="1">
      <alignment horizontal="center"/>
    </xf>
    <xf numFmtId="0" fontId="24" fillId="0" borderId="7" xfId="1" applyFont="1" applyBorder="1" applyAlignment="1">
      <alignment horizontal="center"/>
    </xf>
    <xf numFmtId="0" fontId="22" fillId="0" borderId="3" xfId="0" applyFont="1" applyBorder="1"/>
    <xf numFmtId="0" fontId="22" fillId="0" borderId="0" xfId="0" applyFont="1"/>
    <xf numFmtId="0" fontId="17" fillId="0" borderId="9" xfId="0" applyFont="1" applyBorder="1"/>
    <xf numFmtId="0" fontId="17" fillId="0" borderId="15" xfId="0" applyFont="1" applyBorder="1"/>
    <xf numFmtId="0" fontId="17" fillId="0" borderId="11" xfId="0" applyFont="1" applyBorder="1"/>
    <xf numFmtId="0" fontId="11" fillId="0" borderId="9" xfId="1" applyFill="1" applyBorder="1" applyAlignment="1"/>
    <xf numFmtId="0" fontId="26" fillId="0" borderId="3" xfId="0" applyFont="1" applyBorder="1"/>
    <xf numFmtId="0" fontId="27" fillId="0" borderId="9" xfId="0" applyFont="1" applyBorder="1"/>
    <xf numFmtId="0" fontId="18" fillId="0" borderId="3" xfId="0" applyFont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right"/>
    </xf>
    <xf numFmtId="10" fontId="23" fillId="0" borderId="1" xfId="0" applyNumberFormat="1" applyFont="1" applyBorder="1"/>
    <xf numFmtId="0" fontId="23" fillId="0" borderId="1" xfId="0" applyFont="1" applyBorder="1"/>
    <xf numFmtId="0" fontId="22" fillId="0" borderId="2" xfId="0" applyFont="1" applyBorder="1" applyAlignment="1">
      <alignment horizontal="center"/>
    </xf>
    <xf numFmtId="0" fontId="24" fillId="0" borderId="1" xfId="1" applyFont="1" applyBorder="1"/>
    <xf numFmtId="0" fontId="22" fillId="0" borderId="1" xfId="0" applyFont="1" applyBorder="1" applyAlignment="1">
      <alignment horizontal="center"/>
    </xf>
    <xf numFmtId="0" fontId="22" fillId="0" borderId="7" xfId="0" applyFont="1" applyBorder="1"/>
    <xf numFmtId="0" fontId="22" fillId="0" borderId="11" xfId="0" applyFont="1" applyBorder="1"/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left" wrapText="1"/>
    </xf>
    <xf numFmtId="0" fontId="23" fillId="0" borderId="1" xfId="0" applyFont="1" applyBorder="1" applyAlignment="1">
      <alignment horizontal="right" wrapText="1"/>
    </xf>
    <xf numFmtId="0" fontId="23" fillId="0" borderId="2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3" fillId="0" borderId="3" xfId="0" applyFont="1" applyBorder="1" applyAlignment="1">
      <alignment horizontal="left" wrapText="1"/>
    </xf>
    <xf numFmtId="0" fontId="23" fillId="0" borderId="11" xfId="0" applyFont="1" applyBorder="1"/>
    <xf numFmtId="0" fontId="29" fillId="0" borderId="3" xfId="1" applyFont="1" applyBorder="1" applyAlignment="1" applyProtection="1">
      <alignment horizontal="center"/>
    </xf>
    <xf numFmtId="0" fontId="24" fillId="0" borderId="3" xfId="1" applyFont="1" applyBorder="1" applyAlignment="1" applyProtection="1">
      <alignment horizontal="center"/>
    </xf>
    <xf numFmtId="0" fontId="0" fillId="0" borderId="3" xfId="0" applyBorder="1" applyAlignment="1">
      <alignment horizontal="center" wrapText="1"/>
    </xf>
    <xf numFmtId="0" fontId="0" fillId="0" borderId="8" xfId="0" applyBorder="1"/>
    <xf numFmtId="0" fontId="0" fillId="0" borderId="0" xfId="0" applyAlignment="1">
      <alignment wrapText="1"/>
    </xf>
    <xf numFmtId="0" fontId="0" fillId="8" borderId="3" xfId="0" applyFill="1" applyBorder="1"/>
    <xf numFmtId="0" fontId="0" fillId="8" borderId="3" xfId="0" applyFill="1" applyBorder="1" applyAlignment="1">
      <alignment horizontal="right"/>
    </xf>
    <xf numFmtId="10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0" fontId="11" fillId="8" borderId="3" xfId="1" applyFill="1" applyBorder="1"/>
    <xf numFmtId="0" fontId="0" fillId="8" borderId="7" xfId="0" applyFill="1" applyBorder="1" applyAlignment="1">
      <alignment horizontal="center"/>
    </xf>
    <xf numFmtId="0" fontId="0" fillId="8" borderId="0" xfId="0" applyFill="1"/>
    <xf numFmtId="15" fontId="0" fillId="0" borderId="3" xfId="0" applyNumberFormat="1" applyBorder="1" applyAlignment="1">
      <alignment horizontal="right"/>
    </xf>
    <xf numFmtId="0" fontId="11" fillId="0" borderId="3" xfId="1" applyFill="1" applyBorder="1" applyAlignment="1" applyProtection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right"/>
    </xf>
    <xf numFmtId="10" fontId="0" fillId="4" borderId="3" xfId="0" applyNumberFormat="1" applyFill="1" applyBorder="1"/>
    <xf numFmtId="0" fontId="0" fillId="4" borderId="3" xfId="0" applyFill="1" applyBorder="1" applyAlignment="1">
      <alignment horizontal="center"/>
    </xf>
    <xf numFmtId="0" fontId="11" fillId="4" borderId="3" xfId="1" applyFill="1" applyBorder="1"/>
    <xf numFmtId="0" fontId="0" fillId="4" borderId="7" xfId="0" applyFill="1" applyBorder="1" applyAlignment="1">
      <alignment horizontal="center"/>
    </xf>
    <xf numFmtId="0" fontId="0" fillId="4" borderId="0" xfId="0" applyFill="1"/>
    <xf numFmtId="0" fontId="17" fillId="0" borderId="9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0" fillId="4" borderId="7" xfId="0" applyFill="1" applyBorder="1"/>
    <xf numFmtId="10" fontId="18" fillId="4" borderId="3" xfId="0" applyNumberFormat="1" applyFont="1" applyFill="1" applyBorder="1"/>
    <xf numFmtId="10" fontId="4" fillId="4" borderId="3" xfId="0" applyNumberFormat="1" applyFont="1" applyFill="1" applyBorder="1"/>
    <xf numFmtId="0" fontId="4" fillId="4" borderId="3" xfId="0" applyFont="1" applyFill="1" applyBorder="1"/>
    <xf numFmtId="0" fontId="0" fillId="0" borderId="14" xfId="0" applyBorder="1" applyAlignment="1">
      <alignment horizontal="right"/>
    </xf>
    <xf numFmtId="10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3" xfId="0" applyFont="1" applyFill="1" applyBorder="1"/>
    <xf numFmtId="0" fontId="4" fillId="0" borderId="9" xfId="0" applyFont="1" applyBorder="1" applyAlignment="1">
      <alignment horizontal="right"/>
    </xf>
    <xf numFmtId="0" fontId="0" fillId="0" borderId="9" xfId="0" applyBorder="1" applyAlignment="1">
      <alignment horizontal="right"/>
    </xf>
    <xf numFmtId="10" fontId="4" fillId="0" borderId="9" xfId="0" applyNumberFormat="1" applyFont="1" applyBorder="1"/>
    <xf numFmtId="10" fontId="0" fillId="0" borderId="9" xfId="0" applyNumberFormat="1" applyBorder="1"/>
    <xf numFmtId="0" fontId="17" fillId="0" borderId="1" xfId="0" applyFont="1" applyBorder="1" applyAlignment="1">
      <alignment horizontal="right"/>
    </xf>
    <xf numFmtId="0" fontId="4" fillId="0" borderId="9" xfId="0" applyFont="1" applyBorder="1"/>
    <xf numFmtId="0" fontId="17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1" xfId="1" applyFill="1" applyBorder="1" applyAlignment="1"/>
    <xf numFmtId="0" fontId="11" fillId="0" borderId="9" xfId="1" applyBorder="1"/>
    <xf numFmtId="0" fontId="14" fillId="0" borderId="1" xfId="0" applyFont="1" applyBorder="1"/>
    <xf numFmtId="0" fontId="9" fillId="0" borderId="3" xfId="0" applyFont="1" applyBorder="1" applyAlignment="1">
      <alignment horizontal="center"/>
    </xf>
    <xf numFmtId="0" fontId="26" fillId="5" borderId="2" xfId="0" applyFont="1" applyFill="1" applyBorder="1"/>
    <xf numFmtId="0" fontId="4" fillId="0" borderId="15" xfId="0" applyFont="1" applyBorder="1" applyAlignment="1">
      <alignment horizontal="center"/>
    </xf>
    <xf numFmtId="0" fontId="17" fillId="0" borderId="7" xfId="0" applyFont="1" applyBorder="1"/>
    <xf numFmtId="0" fontId="0" fillId="0" borderId="12" xfId="0" applyBorder="1" applyAlignment="1">
      <alignment horizontal="right"/>
    </xf>
    <xf numFmtId="0" fontId="12" fillId="0" borderId="1" xfId="0" applyFont="1" applyBorder="1" applyAlignment="1">
      <alignment horizontal="right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15" fontId="17" fillId="0" borderId="1" xfId="0" applyNumberFormat="1" applyFont="1" applyBorder="1" applyAlignment="1">
      <alignment horizontal="right"/>
    </xf>
    <xf numFmtId="0" fontId="4" fillId="0" borderId="12" xfId="0" applyFont="1" applyBorder="1"/>
    <xf numFmtId="0" fontId="0" fillId="0" borderId="16" xfId="0" applyBorder="1" applyAlignment="1">
      <alignment horizontal="center"/>
    </xf>
    <xf numFmtId="0" fontId="11" fillId="0" borderId="1" xfId="1" applyBorder="1" applyProtection="1"/>
    <xf numFmtId="0" fontId="0" fillId="0" borderId="12" xfId="0" applyBorder="1" applyAlignment="1">
      <alignment horizontal="center"/>
    </xf>
    <xf numFmtId="0" fontId="14" fillId="6" borderId="1" xfId="1" applyFont="1" applyFill="1" applyBorder="1" applyAlignment="1" applyProtection="1">
      <alignment horizontal="center"/>
    </xf>
    <xf numFmtId="0" fontId="14" fillId="0" borderId="2" xfId="1" applyFont="1" applyBorder="1" applyAlignment="1" applyProtection="1">
      <alignment horizontal="center"/>
    </xf>
    <xf numFmtId="0" fontId="5" fillId="3" borderId="7" xfId="0" applyFont="1" applyFill="1" applyBorder="1" applyAlignment="1">
      <alignment horizontal="center"/>
    </xf>
    <xf numFmtId="0" fontId="0" fillId="6" borderId="11" xfId="0" applyFill="1" applyBorder="1"/>
    <xf numFmtId="0" fontId="3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right" wrapText="1"/>
    </xf>
    <xf numFmtId="10" fontId="3" fillId="9" borderId="1" xfId="0" applyNumberFormat="1" applyFont="1" applyFill="1" applyBorder="1" applyAlignment="1">
      <alignment horizontal="left" wrapText="1"/>
    </xf>
    <xf numFmtId="0" fontId="3" fillId="9" borderId="2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18" fillId="9" borderId="7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horizontal="left" wrapText="1"/>
    </xf>
    <xf numFmtId="0" fontId="19" fillId="9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0" fillId="9" borderId="0" xfId="0" applyFill="1"/>
    <xf numFmtId="0" fontId="21" fillId="9" borderId="7" xfId="0" applyFont="1" applyFill="1" applyBorder="1"/>
    <xf numFmtId="10" fontId="0" fillId="4" borderId="6" xfId="0" applyNumberFormat="1" applyFill="1" applyBorder="1"/>
    <xf numFmtId="0" fontId="11" fillId="0" borderId="14" xfId="1" applyBorder="1"/>
    <xf numFmtId="0" fontId="21" fillId="9" borderId="3" xfId="0" applyFont="1" applyFill="1" applyBorder="1"/>
    <xf numFmtId="0" fontId="21" fillId="9" borderId="11" xfId="0" applyFont="1" applyFill="1" applyBorder="1"/>
    <xf numFmtId="0" fontId="10" fillId="0" borderId="3" xfId="0" applyFont="1" applyBorder="1" applyAlignment="1">
      <alignment horizontal="center"/>
    </xf>
    <xf numFmtId="0" fontId="16" fillId="0" borderId="3" xfId="0" applyFont="1" applyBorder="1"/>
    <xf numFmtId="0" fontId="14" fillId="0" borderId="3" xfId="1" applyFont="1" applyFill="1" applyBorder="1" applyAlignment="1" applyProtection="1">
      <alignment horizontal="center"/>
    </xf>
    <xf numFmtId="0" fontId="11" fillId="0" borderId="3" xfId="1" applyBorder="1" applyAlignment="1">
      <alignment wrapText="1"/>
    </xf>
    <xf numFmtId="10" fontId="22" fillId="0" borderId="3" xfId="0" applyNumberFormat="1" applyFont="1" applyBorder="1"/>
    <xf numFmtId="0" fontId="22" fillId="0" borderId="6" xfId="0" applyFont="1" applyBorder="1"/>
    <xf numFmtId="0" fontId="31" fillId="0" borderId="0" xfId="0" applyFont="1"/>
    <xf numFmtId="0" fontId="18" fillId="0" borderId="8" xfId="0" applyFont="1" applyBorder="1"/>
    <xf numFmtId="15" fontId="0" fillId="0" borderId="1" xfId="0" applyNumberFormat="1" applyBorder="1" applyAlignment="1">
      <alignment horizontal="right"/>
    </xf>
    <xf numFmtId="0" fontId="28" fillId="0" borderId="3" xfId="0" applyFont="1" applyBorder="1"/>
    <xf numFmtId="15" fontId="0" fillId="0" borderId="9" xfId="0" applyNumberFormat="1" applyBorder="1" applyAlignment="1">
      <alignment horizontal="right"/>
    </xf>
    <xf numFmtId="0" fontId="11" fillId="0" borderId="9" xfId="1" applyFill="1" applyBorder="1"/>
    <xf numFmtId="0" fontId="0" fillId="0" borderId="15" xfId="0" applyBorder="1" applyAlignment="1">
      <alignment horizontal="center"/>
    </xf>
    <xf numFmtId="0" fontId="4" fillId="0" borderId="7" xfId="0" applyFont="1" applyBorder="1" applyAlignment="1">
      <alignment horizontal="center"/>
    </xf>
    <xf numFmtId="10" fontId="4" fillId="4" borderId="6" xfId="0" applyNumberFormat="1" applyFont="1" applyFill="1" applyBorder="1"/>
    <xf numFmtId="0" fontId="11" fillId="0" borderId="0" xfId="1" applyFill="1" applyBorder="1" applyAlignment="1"/>
    <xf numFmtId="0" fontId="32" fillId="0" borderId="3" xfId="0" applyFont="1" applyBorder="1"/>
    <xf numFmtId="10" fontId="4" fillId="8" borderId="3" xfId="0" applyNumberFormat="1" applyFont="1" applyFill="1" applyBorder="1"/>
    <xf numFmtId="0" fontId="4" fillId="8" borderId="3" xfId="0" applyFont="1" applyFill="1" applyBorder="1"/>
    <xf numFmtId="1" fontId="0" fillId="4" borderId="3" xfId="0" applyNumberFormat="1" applyFill="1" applyBorder="1" applyAlignment="1">
      <alignment horizontal="right"/>
    </xf>
    <xf numFmtId="2" fontId="0" fillId="4" borderId="3" xfId="0" applyNumberFormat="1" applyFill="1" applyBorder="1" applyAlignment="1">
      <alignment horizontal="right"/>
    </xf>
    <xf numFmtId="0" fontId="22" fillId="2" borderId="3" xfId="0" applyFont="1" applyFill="1" applyBorder="1"/>
    <xf numFmtId="0" fontId="23" fillId="7" borderId="3" xfId="0" applyFont="1" applyFill="1" applyBorder="1" applyAlignment="1">
      <alignment horizontal="right"/>
    </xf>
    <xf numFmtId="0" fontId="22" fillId="7" borderId="3" xfId="0" applyFont="1" applyFill="1" applyBorder="1" applyAlignment="1">
      <alignment horizontal="right"/>
    </xf>
    <xf numFmtId="10" fontId="23" fillId="7" borderId="3" xfId="0" applyNumberFormat="1" applyFont="1" applyFill="1" applyBorder="1"/>
    <xf numFmtId="0" fontId="23" fillId="7" borderId="3" xfId="0" applyFont="1" applyFill="1" applyBorder="1"/>
    <xf numFmtId="0" fontId="22" fillId="7" borderId="3" xfId="0" applyFont="1" applyFill="1" applyBorder="1" applyAlignment="1">
      <alignment horizontal="center"/>
    </xf>
    <xf numFmtId="0" fontId="22" fillId="7" borderId="3" xfId="0" applyFont="1" applyFill="1" applyBorder="1"/>
    <xf numFmtId="0" fontId="34" fillId="7" borderId="3" xfId="0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/>
    </xf>
    <xf numFmtId="0" fontId="18" fillId="0" borderId="7" xfId="0" applyFont="1" applyBorder="1"/>
    <xf numFmtId="10" fontId="4" fillId="0" borderId="10" xfId="0" applyNumberFormat="1" applyFont="1" applyBorder="1"/>
    <xf numFmtId="0" fontId="22" fillId="0" borderId="6" xfId="0" applyFont="1" applyBorder="1" applyAlignment="1">
      <alignment horizontal="right"/>
    </xf>
    <xf numFmtId="10" fontId="23" fillId="0" borderId="6" xfId="0" applyNumberFormat="1" applyFont="1" applyBorder="1"/>
    <xf numFmtId="10" fontId="0" fillId="4" borderId="9" xfId="0" applyNumberFormat="1" applyFill="1" applyBorder="1"/>
    <xf numFmtId="10" fontId="4" fillId="0" borderId="7" xfId="0" applyNumberFormat="1" applyFont="1" applyBorder="1"/>
    <xf numFmtId="0" fontId="22" fillId="4" borderId="3" xfId="0" applyFont="1" applyFill="1" applyBorder="1"/>
    <xf numFmtId="0" fontId="22" fillId="4" borderId="3" xfId="0" applyFont="1" applyFill="1" applyBorder="1" applyAlignment="1">
      <alignment horizontal="right"/>
    </xf>
    <xf numFmtId="10" fontId="22" fillId="4" borderId="3" xfId="0" applyNumberFormat="1" applyFont="1" applyFill="1" applyBorder="1"/>
    <xf numFmtId="0" fontId="22" fillId="4" borderId="3" xfId="0" applyFont="1" applyFill="1" applyBorder="1" applyAlignment="1">
      <alignment horizontal="center"/>
    </xf>
    <xf numFmtId="0" fontId="24" fillId="4" borderId="3" xfId="1" applyFont="1" applyFill="1" applyBorder="1"/>
    <xf numFmtId="0" fontId="22" fillId="4" borderId="0" xfId="0" applyFont="1" applyFill="1"/>
    <xf numFmtId="0" fontId="22" fillId="4" borderId="3" xfId="0" applyFont="1" applyFill="1" applyBorder="1" applyAlignment="1">
      <alignment vertical="top"/>
    </xf>
    <xf numFmtId="0" fontId="22" fillId="4" borderId="3" xfId="0" applyFont="1" applyFill="1" applyBorder="1" applyAlignment="1">
      <alignment horizontal="right" vertical="top"/>
    </xf>
    <xf numFmtId="10" fontId="22" fillId="4" borderId="3" xfId="0" applyNumberFormat="1" applyFont="1" applyFill="1" applyBorder="1" applyAlignment="1">
      <alignment vertical="top"/>
    </xf>
    <xf numFmtId="0" fontId="22" fillId="4" borderId="3" xfId="0" applyFont="1" applyFill="1" applyBorder="1" applyAlignment="1">
      <alignment horizontal="center" vertical="top"/>
    </xf>
    <xf numFmtId="0" fontId="22" fillId="4" borderId="3" xfId="0" applyFont="1" applyFill="1" applyBorder="1" applyAlignment="1">
      <alignment vertical="top" wrapText="1"/>
    </xf>
    <xf numFmtId="0" fontId="22" fillId="4" borderId="7" xfId="0" applyFont="1" applyFill="1" applyBorder="1" applyAlignment="1">
      <alignment horizontal="center" vertical="top"/>
    </xf>
    <xf numFmtId="0" fontId="35" fillId="4" borderId="3" xfId="0" applyFont="1" applyFill="1" applyBorder="1"/>
    <xf numFmtId="0" fontId="22" fillId="4" borderId="0" xfId="0" applyFont="1" applyFill="1" applyAlignment="1">
      <alignment vertical="top"/>
    </xf>
    <xf numFmtId="0" fontId="23" fillId="0" borderId="3" xfId="0" applyFont="1" applyBorder="1" applyAlignment="1">
      <alignment horizontal="right" wrapText="1"/>
    </xf>
    <xf numFmtId="0" fontId="23" fillId="0" borderId="3" xfId="0" applyFont="1" applyBorder="1" applyAlignment="1">
      <alignment horizontal="center" wrapText="1"/>
    </xf>
    <xf numFmtId="0" fontId="22" fillId="8" borderId="0" xfId="0" applyFont="1" applyFill="1"/>
    <xf numFmtId="0" fontId="27" fillId="0" borderId="1" xfId="0" applyFont="1" applyBorder="1"/>
    <xf numFmtId="0" fontId="24" fillId="0" borderId="3" xfId="1" applyFont="1" applyFill="1" applyBorder="1" applyProtection="1"/>
    <xf numFmtId="0" fontId="39" fillId="0" borderId="3" xfId="1" applyFont="1" applyFill="1" applyBorder="1" applyProtection="1"/>
    <xf numFmtId="0" fontId="40" fillId="0" borderId="3" xfId="1" applyFont="1" applyFill="1" applyBorder="1" applyAlignment="1" applyProtection="1">
      <alignment horizontal="center"/>
    </xf>
    <xf numFmtId="0" fontId="24" fillId="0" borderId="7" xfId="1" applyFont="1" applyFill="1" applyBorder="1" applyAlignment="1">
      <alignment horizontal="center"/>
    </xf>
    <xf numFmtId="0" fontId="24" fillId="0" borderId="3" xfId="1" applyFont="1" applyFill="1" applyBorder="1"/>
    <xf numFmtId="0" fontId="22" fillId="0" borderId="3" xfId="0" applyFont="1" applyBorder="1" applyAlignment="1">
      <alignment vertical="center"/>
    </xf>
    <xf numFmtId="0" fontId="23" fillId="0" borderId="3" xfId="0" applyFont="1" applyBorder="1" applyAlignment="1">
      <alignment horizontal="right"/>
    </xf>
    <xf numFmtId="0" fontId="0" fillId="4" borderId="9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1" fillId="4" borderId="3" xfId="1" applyFill="1" applyBorder="1" applyProtection="1"/>
    <xf numFmtId="0" fontId="21" fillId="9" borderId="3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2" fillId="7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2" fillId="4" borderId="9" xfId="0" applyFont="1" applyFill="1" applyBorder="1" applyAlignment="1">
      <alignment horizontal="center" vertical="top"/>
    </xf>
    <xf numFmtId="0" fontId="22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right"/>
    </xf>
    <xf numFmtId="0" fontId="17" fillId="0" borderId="17" xfId="0" applyFont="1" applyBorder="1"/>
    <xf numFmtId="0" fontId="11" fillId="0" borderId="11" xfId="1" applyFill="1" applyBorder="1" applyAlignment="1"/>
    <xf numFmtId="0" fontId="11" fillId="0" borderId="0" xfId="1" applyBorder="1"/>
    <xf numFmtId="0" fontId="17" fillId="0" borderId="0" xfId="0" applyFont="1" applyAlignment="1">
      <alignment horizontal="center"/>
    </xf>
    <xf numFmtId="0" fontId="32" fillId="0" borderId="6" xfId="0" applyFont="1" applyBorder="1"/>
    <xf numFmtId="0" fontId="0" fillId="8" borderId="0" xfId="0" applyFill="1" applyAlignment="1">
      <alignment horizontal="right"/>
    </xf>
    <xf numFmtId="0" fontId="11" fillId="0" borderId="0" xfId="1" applyBorder="1" applyAlignment="1"/>
    <xf numFmtId="0" fontId="36" fillId="0" borderId="0" xfId="0" applyFont="1"/>
    <xf numFmtId="0" fontId="28" fillId="0" borderId="0" xfId="0" applyFont="1"/>
    <xf numFmtId="0" fontId="38" fillId="0" borderId="0" xfId="0" applyFont="1"/>
    <xf numFmtId="0" fontId="37" fillId="0" borderId="0" xfId="0" applyFont="1"/>
    <xf numFmtId="0" fontId="11" fillId="8" borderId="0" xfId="1" applyFill="1" applyBorder="1"/>
    <xf numFmtId="0" fontId="17" fillId="0" borderId="0" xfId="0" applyFont="1" applyAlignment="1">
      <alignment horizontal="left"/>
    </xf>
    <xf numFmtId="0" fontId="4" fillId="0" borderId="0" xfId="0" applyFont="1"/>
    <xf numFmtId="0" fontId="0" fillId="8" borderId="6" xfId="0" applyFill="1" applyBorder="1"/>
    <xf numFmtId="0" fontId="14" fillId="4" borderId="3" xfId="1" applyFont="1" applyFill="1" applyBorder="1" applyAlignment="1" applyProtection="1">
      <alignment horizontal="center"/>
    </xf>
    <xf numFmtId="0" fontId="4" fillId="0" borderId="14" xfId="0" applyFont="1" applyBorder="1" applyAlignment="1">
      <alignment horizontal="right"/>
    </xf>
    <xf numFmtId="10" fontId="4" fillId="0" borderId="14" xfId="0" applyNumberFormat="1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0" fillId="0" borderId="0" xfId="0" applyAlignment="1">
      <alignment vertical="top"/>
    </xf>
    <xf numFmtId="0" fontId="11" fillId="0" borderId="0" xfId="1"/>
    <xf numFmtId="0" fontId="0" fillId="8" borderId="3" xfId="0" applyFill="1" applyBorder="1" applyAlignment="1">
      <alignment wrapText="1"/>
    </xf>
    <xf numFmtId="0" fontId="18" fillId="0" borderId="3" xfId="0" applyFont="1" applyBorder="1" applyAlignment="1">
      <alignment horizontal="right"/>
    </xf>
    <xf numFmtId="0" fontId="41" fillId="0" borderId="0" xfId="0" applyFont="1"/>
    <xf numFmtId="0" fontId="11" fillId="4" borderId="7" xfId="1" applyFill="1" applyBorder="1" applyAlignment="1">
      <alignment horizontal="center"/>
    </xf>
    <xf numFmtId="10" fontId="23" fillId="4" borderId="3" xfId="0" applyNumberFormat="1" applyFont="1" applyFill="1" applyBorder="1"/>
    <xf numFmtId="0" fontId="23" fillId="4" borderId="3" xfId="0" applyFont="1" applyFill="1" applyBorder="1"/>
    <xf numFmtId="0" fontId="24" fillId="4" borderId="3" xfId="1" applyFont="1" applyFill="1" applyBorder="1" applyProtection="1"/>
    <xf numFmtId="0" fontId="40" fillId="4" borderId="3" xfId="1" applyFont="1" applyFill="1" applyBorder="1" applyAlignment="1" applyProtection="1">
      <alignment horizontal="center"/>
    </xf>
    <xf numFmtId="0" fontId="24" fillId="4" borderId="7" xfId="1" applyFont="1" applyFill="1" applyBorder="1" applyAlignment="1">
      <alignment horizontal="center"/>
    </xf>
    <xf numFmtId="0" fontId="22" fillId="4" borderId="9" xfId="0" applyFont="1" applyFill="1" applyBorder="1" applyAlignment="1">
      <alignment horizontal="center"/>
    </xf>
    <xf numFmtId="0" fontId="22" fillId="0" borderId="3" xfId="0" applyFont="1" applyBorder="1" applyAlignment="1">
      <alignment wrapText="1"/>
    </xf>
    <xf numFmtId="10" fontId="22" fillId="0" borderId="6" xfId="0" applyNumberFormat="1" applyFont="1" applyBorder="1"/>
    <xf numFmtId="0" fontId="22" fillId="0" borderId="6" xfId="0" applyFont="1" applyBorder="1" applyAlignment="1">
      <alignment horizontal="center"/>
    </xf>
    <xf numFmtId="0" fontId="24" fillId="0" borderId="6" xfId="1" applyFont="1" applyFill="1" applyBorder="1"/>
    <xf numFmtId="0" fontId="22" fillId="0" borderId="8" xfId="0" applyFont="1" applyBorder="1" applyAlignment="1">
      <alignment horizontal="center"/>
    </xf>
    <xf numFmtId="0" fontId="33" fillId="0" borderId="3" xfId="0" applyFont="1" applyBorder="1"/>
    <xf numFmtId="10" fontId="4" fillId="0" borderId="15" xfId="0" applyNumberFormat="1" applyFont="1" applyBorder="1"/>
    <xf numFmtId="0" fontId="4" fillId="0" borderId="6" xfId="0" applyFont="1" applyBorder="1" applyAlignment="1">
      <alignment horizontal="right"/>
    </xf>
    <xf numFmtId="10" fontId="4" fillId="0" borderId="13" xfId="0" applyNumberFormat="1" applyFont="1" applyBorder="1"/>
    <xf numFmtId="0" fontId="0" fillId="0" borderId="13" xfId="0" applyBorder="1" applyAlignment="1">
      <alignment horizontal="right"/>
    </xf>
    <xf numFmtId="10" fontId="4" fillId="0" borderId="5" xfId="0" applyNumberFormat="1" applyFont="1" applyBorder="1"/>
    <xf numFmtId="10" fontId="0" fillId="0" borderId="2" xfId="0" applyNumberFormat="1" applyBorder="1"/>
    <xf numFmtId="10" fontId="19" fillId="0" borderId="7" xfId="0" applyNumberFormat="1" applyFont="1" applyBorder="1"/>
    <xf numFmtId="10" fontId="23" fillId="0" borderId="7" xfId="0" applyNumberFormat="1" applyFont="1" applyBorder="1"/>
    <xf numFmtId="10" fontId="0" fillId="0" borderId="7" xfId="0" applyNumberFormat="1" applyBorder="1"/>
    <xf numFmtId="0" fontId="0" fillId="0" borderId="11" xfId="0" applyBorder="1" applyAlignment="1">
      <alignment horizontal="right"/>
    </xf>
    <xf numFmtId="0" fontId="22" fillId="0" borderId="9" xfId="0" applyFont="1" applyBorder="1" applyAlignment="1">
      <alignment horizontal="right"/>
    </xf>
    <xf numFmtId="0" fontId="17" fillId="0" borderId="19" xfId="0" applyFont="1" applyBorder="1"/>
    <xf numFmtId="10" fontId="0" fillId="0" borderId="19" xfId="0" applyNumberFormat="1" applyBorder="1"/>
    <xf numFmtId="10" fontId="23" fillId="0" borderId="14" xfId="0" applyNumberFormat="1" applyFont="1" applyBorder="1"/>
    <xf numFmtId="10" fontId="0" fillId="0" borderId="13" xfId="0" applyNumberFormat="1" applyBorder="1"/>
    <xf numFmtId="0" fontId="24" fillId="0" borderId="0" xfId="1" applyFont="1"/>
    <xf numFmtId="0" fontId="42" fillId="0" borderId="0" xfId="0" applyFont="1"/>
    <xf numFmtId="10" fontId="4" fillId="4" borderId="3" xfId="0" applyNumberFormat="1" applyFont="1" applyFill="1" applyBorder="1" applyAlignment="1">
      <alignment wrapText="1"/>
    </xf>
    <xf numFmtId="0" fontId="17" fillId="0" borderId="6" xfId="0" applyFont="1" applyBorder="1"/>
    <xf numFmtId="0" fontId="24" fillId="0" borderId="0" xfId="1" applyFont="1" applyFill="1" applyBorder="1"/>
    <xf numFmtId="0" fontId="17" fillId="0" borderId="3" xfId="0" applyFont="1" applyBorder="1" applyAlignment="1">
      <alignment horizontal="left"/>
    </xf>
    <xf numFmtId="9" fontId="17" fillId="0" borderId="3" xfId="0" applyNumberFormat="1" applyFont="1" applyBorder="1" applyAlignment="1">
      <alignment horizontal="center"/>
    </xf>
    <xf numFmtId="0" fontId="11" fillId="0" borderId="3" xfId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1" fillId="4" borderId="3" xfId="1" applyFill="1" applyBorder="1" applyAlignment="1" applyProtection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k.ravi5@gmail.com" TargetMode="External"/><Relationship Id="rId21" Type="http://schemas.openxmlformats.org/officeDocument/2006/relationships/hyperlink" Target="https://www.linkedin.com/in/rajith-alla-72984417a/" TargetMode="External"/><Relationship Id="rId42" Type="http://schemas.openxmlformats.org/officeDocument/2006/relationships/hyperlink" Target="https://www.linkedin.com/in/balajitiruveedula/" TargetMode="External"/><Relationship Id="rId63" Type="http://schemas.openxmlformats.org/officeDocument/2006/relationships/hyperlink" Target="https://www.linkedin.com/in/katepally-nithin-8131691ba/" TargetMode="External"/><Relationship Id="rId84" Type="http://schemas.openxmlformats.org/officeDocument/2006/relationships/hyperlink" Target="mailto:yashovardhanmakkala@gmail.com" TargetMode="External"/><Relationship Id="rId138" Type="http://schemas.openxmlformats.org/officeDocument/2006/relationships/hyperlink" Target="mailto:prajaktasawant288@gmail.com" TargetMode="External"/><Relationship Id="rId107" Type="http://schemas.openxmlformats.org/officeDocument/2006/relationships/hyperlink" Target="mailto:pikun2858@gmail.com" TargetMode="External"/><Relationship Id="rId11" Type="http://schemas.openxmlformats.org/officeDocument/2006/relationships/hyperlink" Target="https://www.linkedin.com/in/kongara-saisuresh-aa220a147?utm_source=share_via&amp;utm_content=profile&amp;utm_medium=member_android" TargetMode="External"/><Relationship Id="rId32" Type="http://schemas.openxmlformats.org/officeDocument/2006/relationships/hyperlink" Target="https://www.linkedin.com/in/hareeshkumarn/" TargetMode="External"/><Relationship Id="rId53" Type="http://schemas.openxmlformats.org/officeDocument/2006/relationships/hyperlink" Target="https://www.linkedin.com/in/veerendra-cherukumalli-279512211/" TargetMode="External"/><Relationship Id="rId74" Type="http://schemas.openxmlformats.org/officeDocument/2006/relationships/hyperlink" Target="mailto:deepikachiluveru.rs@gmail.com" TargetMode="External"/><Relationship Id="rId128" Type="http://schemas.openxmlformats.org/officeDocument/2006/relationships/hyperlink" Target="mailto:ajaychandragajula@gmail.com" TargetMode="External"/><Relationship Id="rId5" Type="http://schemas.openxmlformats.org/officeDocument/2006/relationships/hyperlink" Target="https://www.linkedin.com/in/alekya-mogallapu-019120185" TargetMode="External"/><Relationship Id="rId90" Type="http://schemas.openxmlformats.org/officeDocument/2006/relationships/hyperlink" Target="mailto:doneti.prasad@gmail.com" TargetMode="External"/><Relationship Id="rId95" Type="http://schemas.openxmlformats.org/officeDocument/2006/relationships/hyperlink" Target="mailto:yallasairam1@gmail.com" TargetMode="External"/><Relationship Id="rId22" Type="http://schemas.openxmlformats.org/officeDocument/2006/relationships/hyperlink" Target="https://www.linkedin.com/in/satya-hari-prasad-mundru-354420183/" TargetMode="External"/><Relationship Id="rId27" Type="http://schemas.openxmlformats.org/officeDocument/2006/relationships/hyperlink" Target="https://www.linkedin.com/in/dhivyabharathi-ravi-3049aa253/" TargetMode="External"/><Relationship Id="rId43" Type="http://schemas.openxmlformats.org/officeDocument/2006/relationships/hyperlink" Target="https://www.linkedin.com/in/amulya-kummitha-b48915203/" TargetMode="External"/><Relationship Id="rId48" Type="http://schemas.openxmlformats.org/officeDocument/2006/relationships/hyperlink" Target="https://www.linkedin.com/in/ajay-chandra-gajula-123456789123456789/" TargetMode="External"/><Relationship Id="rId64" Type="http://schemas.openxmlformats.org/officeDocument/2006/relationships/hyperlink" Target="https://www.linkedin.com/in/ramakrishna-kareti-7b2645217" TargetMode="External"/><Relationship Id="rId69" Type="http://schemas.openxmlformats.org/officeDocument/2006/relationships/hyperlink" Target="https://www.linkedin.com/in/rajarathinam-r-8a6a06216/" TargetMode="External"/><Relationship Id="rId113" Type="http://schemas.openxmlformats.org/officeDocument/2006/relationships/hyperlink" Target="mailto:bhuvanareddypaidi@gmail.com" TargetMode="External"/><Relationship Id="rId118" Type="http://schemas.openxmlformats.org/officeDocument/2006/relationships/hyperlink" Target="mailto:jayram.prabhu@gmail.com" TargetMode="External"/><Relationship Id="rId134" Type="http://schemas.openxmlformats.org/officeDocument/2006/relationships/hyperlink" Target="mailto:kjsurya2020@gmail.com" TargetMode="External"/><Relationship Id="rId139" Type="http://schemas.openxmlformats.org/officeDocument/2006/relationships/hyperlink" Target="mailto:Deshi.jaideep@gmail.com" TargetMode="External"/><Relationship Id="rId80" Type="http://schemas.openxmlformats.org/officeDocument/2006/relationships/hyperlink" Target="mailto:mohasaxena14@gmail.com" TargetMode="External"/><Relationship Id="rId85" Type="http://schemas.openxmlformats.org/officeDocument/2006/relationships/hyperlink" Target="mailto:deepakdarbasth@gmail.com" TargetMode="External"/><Relationship Id="rId12" Type="http://schemas.openxmlformats.org/officeDocument/2006/relationships/hyperlink" Target="https://www.linkedin.com/in/harikapat/" TargetMode="External"/><Relationship Id="rId17" Type="http://schemas.openxmlformats.org/officeDocument/2006/relationships/hyperlink" Target="https://www.linkedin.com/in/aditi-kulkarni-5bba61182?utm_source=share_via&amp;utm_content=profile&amp;utm_medium=member_android" TargetMode="External"/><Relationship Id="rId33" Type="http://schemas.openxmlformats.org/officeDocument/2006/relationships/hyperlink" Target="https://www.linkedin.com/in/sahith-uppaluri/" TargetMode="External"/><Relationship Id="rId38" Type="http://schemas.openxmlformats.org/officeDocument/2006/relationships/hyperlink" Target="https://www.linkedin.com/in/shivani-soma-40ab49283/" TargetMode="External"/><Relationship Id="rId59" Type="http://schemas.openxmlformats.org/officeDocument/2006/relationships/hyperlink" Target="https://www.linkedin.com/in/naga-ramesh-thirlaka-8aa13491/" TargetMode="External"/><Relationship Id="rId103" Type="http://schemas.openxmlformats.org/officeDocument/2006/relationships/hyperlink" Target="mailto:charanchiluka198@gmail.com" TargetMode="External"/><Relationship Id="rId108" Type="http://schemas.openxmlformats.org/officeDocument/2006/relationships/hyperlink" Target="mailto:ranjith101091@gmail.com" TargetMode="External"/><Relationship Id="rId124" Type="http://schemas.openxmlformats.org/officeDocument/2006/relationships/hyperlink" Target="mailto:mk.pega2019@gmail.com" TargetMode="External"/><Relationship Id="rId129" Type="http://schemas.openxmlformats.org/officeDocument/2006/relationships/hyperlink" Target="mailto:harshavardhanramireddy3@gmail.com" TargetMode="External"/><Relationship Id="rId54" Type="http://schemas.openxmlformats.org/officeDocument/2006/relationships/hyperlink" Target="https://www.linkedin.com/in/alekya-mogallapu-019120185/" TargetMode="External"/><Relationship Id="rId70" Type="http://schemas.openxmlformats.org/officeDocument/2006/relationships/hyperlink" Target="https://www.linkedin.com/in/harsh-0b16451b9/" TargetMode="External"/><Relationship Id="rId75" Type="http://schemas.openxmlformats.org/officeDocument/2006/relationships/hyperlink" Target="mailto:iamsonuverma97@gmail.com" TargetMode="External"/><Relationship Id="rId91" Type="http://schemas.openxmlformats.org/officeDocument/2006/relationships/hyperlink" Target="mailto:sainaveen.ravuri@gmail.com" TargetMode="External"/><Relationship Id="rId96" Type="http://schemas.openxmlformats.org/officeDocument/2006/relationships/hyperlink" Target="https://www.linkedin.com/in/ACoAAEUL9woBVWCxetvLWpJjibKLq2xeZq2Rk-Y" TargetMode="External"/><Relationship Id="rId140" Type="http://schemas.openxmlformats.org/officeDocument/2006/relationships/hyperlink" Target="mailto:suresh.mandava@instellars.com" TargetMode="External"/><Relationship Id="rId145" Type="http://schemas.openxmlformats.org/officeDocument/2006/relationships/hyperlink" Target="mailto:rajuponnada027@gmail.com" TargetMode="External"/><Relationship Id="rId1" Type="http://schemas.openxmlformats.org/officeDocument/2006/relationships/hyperlink" Target="https://www.linkedin.com/in/ACoAAC-xXUkBXTELWlCcp0cKTOCYIgVvoqB0V_A" TargetMode="External"/><Relationship Id="rId6" Type="http://schemas.openxmlformats.org/officeDocument/2006/relationships/hyperlink" Target="https://www.linkedin.com/in/deepika" TargetMode="External"/><Relationship Id="rId23" Type="http://schemas.openxmlformats.org/officeDocument/2006/relationships/hyperlink" Target="https://www.linkedin.com/in/vignesh-r-a32308161/" TargetMode="External"/><Relationship Id="rId28" Type="http://schemas.openxmlformats.org/officeDocument/2006/relationships/hyperlink" Target="https://www.linkedin.com/in/sai-naveen-ravuri-b27b591b2/" TargetMode="External"/><Relationship Id="rId49" Type="http://schemas.openxmlformats.org/officeDocument/2006/relationships/hyperlink" Target="https://www.linkedin.com/in/guruva-rao-m-9804682ba/" TargetMode="External"/><Relationship Id="rId114" Type="http://schemas.openxmlformats.org/officeDocument/2006/relationships/hyperlink" Target="mailto:amruthakommana2002@gmail.com" TargetMode="External"/><Relationship Id="rId119" Type="http://schemas.openxmlformats.org/officeDocument/2006/relationships/hyperlink" Target="mailto:tejaswinichintalapudi18@gmail.com" TargetMode="External"/><Relationship Id="rId44" Type="http://schemas.openxmlformats.org/officeDocument/2006/relationships/hyperlink" Target="https://www.linkedin.com/in/chintalapudi-tejaswini-4450931ba" TargetMode="External"/><Relationship Id="rId60" Type="http://schemas.openxmlformats.org/officeDocument/2006/relationships/hyperlink" Target="https://www.linkedin.com/in/sakil-ahamed-22a75b1a7/" TargetMode="External"/><Relationship Id="rId65" Type="http://schemas.openxmlformats.org/officeDocument/2006/relationships/hyperlink" Target="https://www.linkedin.com/in/venkata-suresh-koya-9116ab375/" TargetMode="External"/><Relationship Id="rId81" Type="http://schemas.openxmlformats.org/officeDocument/2006/relationships/hyperlink" Target="mailto:paularitra18@gmail.com" TargetMode="External"/><Relationship Id="rId86" Type="http://schemas.openxmlformats.org/officeDocument/2006/relationships/hyperlink" Target="mailto:kiranmainjl29@gmail.com" TargetMode="External"/><Relationship Id="rId130" Type="http://schemas.openxmlformats.org/officeDocument/2006/relationships/hyperlink" Target="mailto:indurthi.devakumar@gmail.com" TargetMode="External"/><Relationship Id="rId135" Type="http://schemas.openxmlformats.org/officeDocument/2006/relationships/hyperlink" Target="mailto:veerach15.pega@gmail.com" TargetMode="External"/><Relationship Id="rId13" Type="http://schemas.openxmlformats.org/officeDocument/2006/relationships/hyperlink" Target="https://www.linkedin.com/in/yernagula-rahul-73746b199?utm_source=share_via&amp;utm_content=profile&amp;utm_medium=member_android" TargetMode="External"/><Relationship Id="rId18" Type="http://schemas.openxmlformats.org/officeDocument/2006/relationships/hyperlink" Target="https://www.linkedin.com/in/aruna-miridoddy" TargetMode="External"/><Relationship Id="rId39" Type="http://schemas.openxmlformats.org/officeDocument/2006/relationships/hyperlink" Target="https://www.linkedin.com/in/vamsi-reddy-k/" TargetMode="External"/><Relationship Id="rId109" Type="http://schemas.openxmlformats.org/officeDocument/2006/relationships/hyperlink" Target="mailto:vaibhavsanghai23@gmail.com" TargetMode="External"/><Relationship Id="rId34" Type="http://schemas.openxmlformats.org/officeDocument/2006/relationships/hyperlink" Target="https://www.linkedin.com/in/paidi-bhuvana-sri-635617247/" TargetMode="External"/><Relationship Id="rId50" Type="http://schemas.openxmlformats.org/officeDocument/2006/relationships/hyperlink" Target="https://www.linkedin.com/in/srikanthkoduru/" TargetMode="External"/><Relationship Id="rId55" Type="http://schemas.openxmlformats.org/officeDocument/2006/relationships/hyperlink" Target="https://www.linkedin.com/in/prajakta-sawant-815291198/" TargetMode="External"/><Relationship Id="rId76" Type="http://schemas.openxmlformats.org/officeDocument/2006/relationships/hyperlink" Target="mailto:priyasrm20@gmail.com" TargetMode="External"/><Relationship Id="rId97" Type="http://schemas.openxmlformats.org/officeDocument/2006/relationships/hyperlink" Target="mailto:kulkarniaditi869@gmail.com" TargetMode="External"/><Relationship Id="rId104" Type="http://schemas.openxmlformats.org/officeDocument/2006/relationships/hyperlink" Target="mailto:shaiknaveed1003@gmail.com" TargetMode="External"/><Relationship Id="rId120" Type="http://schemas.openxmlformats.org/officeDocument/2006/relationships/hyperlink" Target="mailto:sumitpatil94051@gmail.com" TargetMode="External"/><Relationship Id="rId125" Type="http://schemas.openxmlformats.org/officeDocument/2006/relationships/hyperlink" Target="mailto:Rudrabhatlarahul1999@gmail.com%20" TargetMode="External"/><Relationship Id="rId141" Type="http://schemas.openxmlformats.org/officeDocument/2006/relationships/hyperlink" Target="mailto:agarameshthirlaka@gmail.com" TargetMode="External"/><Relationship Id="rId146" Type="http://schemas.openxmlformats.org/officeDocument/2006/relationships/printerSettings" Target="../printerSettings/printerSettings1.bin"/><Relationship Id="rId7" Type="http://schemas.openxmlformats.org/officeDocument/2006/relationships/hyperlink" Target="https://www.linkedin.com/in/venkata-karthik-206702364/" TargetMode="External"/><Relationship Id="rId71" Type="http://schemas.openxmlformats.org/officeDocument/2006/relationships/hyperlink" Target="mailto:mahithaesampally@gmail.com" TargetMode="External"/><Relationship Id="rId92" Type="http://schemas.openxmlformats.org/officeDocument/2006/relationships/hyperlink" Target="mailto:guruvamirampalli@gmail.com" TargetMode="External"/><Relationship Id="rId2" Type="http://schemas.openxmlformats.org/officeDocument/2006/relationships/hyperlink" Target="https://www.linkedin.com/in/ACoAACs6CB8Bt1oGWiPE7iZYmdHctQ7KIbQcKJ4" TargetMode="External"/><Relationship Id="rId29" Type="http://schemas.openxmlformats.org/officeDocument/2006/relationships/hyperlink" Target="https://www.linkedin.com/in/rohitsingh021/" TargetMode="External"/><Relationship Id="rId24" Type="http://schemas.openxmlformats.org/officeDocument/2006/relationships/hyperlink" Target="https://www.linkedin.com/in/biranchi-prasad-barik-7ba749188/" TargetMode="External"/><Relationship Id="rId40" Type="http://schemas.openxmlformats.org/officeDocument/2006/relationships/hyperlink" Target="https://www.linkedin.com/in/gopicharan-chiluka-549b771a3/" TargetMode="External"/><Relationship Id="rId45" Type="http://schemas.openxmlformats.org/officeDocument/2006/relationships/hyperlink" Target="https://www.linkedin.com/in/sumit-dhanegaonkar-95407b189/" TargetMode="External"/><Relationship Id="rId66" Type="http://schemas.openxmlformats.org/officeDocument/2006/relationships/hyperlink" Target="https://www.linkedin.com/in/arunkarthickraja-n-b46773126/" TargetMode="External"/><Relationship Id="rId87" Type="http://schemas.openxmlformats.org/officeDocument/2006/relationships/hyperlink" Target="mailto:jayakesh.alugoju294@gmail.com" TargetMode="External"/><Relationship Id="rId110" Type="http://schemas.openxmlformats.org/officeDocument/2006/relationships/hyperlink" Target="mailto:rdhivyabharathi99@gmail.com" TargetMode="External"/><Relationship Id="rId115" Type="http://schemas.openxmlformats.org/officeDocument/2006/relationships/hyperlink" Target="mailto:somashivani333@gmail.com" TargetMode="External"/><Relationship Id="rId131" Type="http://schemas.openxmlformats.org/officeDocument/2006/relationships/hyperlink" Target="mailto:aprathapnarayan99@gmail.com" TargetMode="External"/><Relationship Id="rId136" Type="http://schemas.openxmlformats.org/officeDocument/2006/relationships/hyperlink" Target="mailto:psukant2369@gmail.com" TargetMode="External"/><Relationship Id="rId61" Type="http://schemas.openxmlformats.org/officeDocument/2006/relationships/hyperlink" Target="https://www.linkedin.com/in/abhishek-pandey-40277a130/" TargetMode="External"/><Relationship Id="rId82" Type="http://schemas.openxmlformats.org/officeDocument/2006/relationships/hyperlink" Target="mailto:sureshkongara1997@gmail.com" TargetMode="External"/><Relationship Id="rId19" Type="http://schemas.openxmlformats.org/officeDocument/2006/relationships/hyperlink" Target="https://www.linkedin.com/in/hariteja-nagisetty-26377625b" TargetMode="External"/><Relationship Id="rId14" Type="http://schemas.openxmlformats.org/officeDocument/2006/relationships/hyperlink" Target="https://www.linkedin.com/in/rimzim-sharma/" TargetMode="External"/><Relationship Id="rId30" Type="http://schemas.openxmlformats.org/officeDocument/2006/relationships/hyperlink" Target="https://www.linkedin.com/in/ojaswiniwagh715/" TargetMode="External"/><Relationship Id="rId35" Type="http://schemas.openxmlformats.org/officeDocument/2006/relationships/hyperlink" Target="https://www.linkedin.com/in/kommana-venkata-amrutha-sai-pegadeveloper/" TargetMode="External"/><Relationship Id="rId56" Type="http://schemas.openxmlformats.org/officeDocument/2006/relationships/hyperlink" Target="https://www.linkedin.com/in/jaideep-deshi-503288b8/" TargetMode="External"/><Relationship Id="rId77" Type="http://schemas.openxmlformats.org/officeDocument/2006/relationships/hyperlink" Target="mailto:umamaheshkotipalli04@gmail.com" TargetMode="External"/><Relationship Id="rId100" Type="http://schemas.openxmlformats.org/officeDocument/2006/relationships/hyperlink" Target="mailto:vamshiigitam8031413@gmail.com" TargetMode="External"/><Relationship Id="rId105" Type="http://schemas.openxmlformats.org/officeDocument/2006/relationships/hyperlink" Target="mailto:snehalatha.jupalli@gmail.com" TargetMode="External"/><Relationship Id="rId126" Type="http://schemas.openxmlformats.org/officeDocument/2006/relationships/hyperlink" Target="mailto:indurthi.devakumar@gmail.com" TargetMode="External"/><Relationship Id="rId8" Type="http://schemas.openxmlformats.org/officeDocument/2006/relationships/hyperlink" Target="https://www.linkedin.com/in/manisha-vudugu/" TargetMode="External"/><Relationship Id="rId51" Type="http://schemas.openxmlformats.org/officeDocument/2006/relationships/hyperlink" Target="https://www.linkedin.com/in/kovid-dasari-808798188/" TargetMode="External"/><Relationship Id="rId72" Type="http://schemas.openxmlformats.org/officeDocument/2006/relationships/hyperlink" Target="mailto:midathaninagateja@gmail.com" TargetMode="External"/><Relationship Id="rId93" Type="http://schemas.openxmlformats.org/officeDocument/2006/relationships/hyperlink" Target="mailto:psindhureddy19@gmail.com" TargetMode="External"/><Relationship Id="rId98" Type="http://schemas.openxmlformats.org/officeDocument/2006/relationships/hyperlink" Target="mailto:hariteja.nagisetty@gmail.com" TargetMode="External"/><Relationship Id="rId121" Type="http://schemas.openxmlformats.org/officeDocument/2006/relationships/hyperlink" Target="mailto:nareshm5678@gmail.com" TargetMode="External"/><Relationship Id="rId142" Type="http://schemas.openxmlformats.org/officeDocument/2006/relationships/hyperlink" Target="mailto:sakil.pega.architect@gmail.com" TargetMode="External"/><Relationship Id="rId3" Type="http://schemas.openxmlformats.org/officeDocument/2006/relationships/hyperlink" Target="https://www.linkedin.com/in/mahitha-esampally" TargetMode="External"/><Relationship Id="rId25" Type="http://schemas.openxmlformats.org/officeDocument/2006/relationships/hyperlink" Target="https://www.linkedin.com/in/ranjith-kumar-002a573a/" TargetMode="External"/><Relationship Id="rId46" Type="http://schemas.openxmlformats.org/officeDocument/2006/relationships/hyperlink" Target="https://www.linkedin.com/in/marghoob-khan-933647126/" TargetMode="External"/><Relationship Id="rId67" Type="http://schemas.openxmlformats.org/officeDocument/2006/relationships/hyperlink" Target="https://www.linkedin.com/in/rajesh-yella-ab07627a/" TargetMode="External"/><Relationship Id="rId116" Type="http://schemas.openxmlformats.org/officeDocument/2006/relationships/hyperlink" Target="mailto:vamsireddyk2002@gmail.com" TargetMode="External"/><Relationship Id="rId137" Type="http://schemas.openxmlformats.org/officeDocument/2006/relationships/hyperlink" Target="mailto:alekyamogallapu333@gmail.com" TargetMode="External"/><Relationship Id="rId20" Type="http://schemas.openxmlformats.org/officeDocument/2006/relationships/hyperlink" Target="https://www.linkedin.com/in/santha-ram-kumar-5863ab185/" TargetMode="External"/><Relationship Id="rId41" Type="http://schemas.openxmlformats.org/officeDocument/2006/relationships/hyperlink" Target="https://www.linkedin.com/in/baibhavraj/" TargetMode="External"/><Relationship Id="rId62" Type="http://schemas.openxmlformats.org/officeDocument/2006/relationships/hyperlink" Target="https://www.linkedin.com/in/tamma-naga-aswini-86118a179/" TargetMode="External"/><Relationship Id="rId83" Type="http://schemas.openxmlformats.org/officeDocument/2006/relationships/hyperlink" Target="mailto:rahul2002303@gmail.com" TargetMode="External"/><Relationship Id="rId88" Type="http://schemas.openxmlformats.org/officeDocument/2006/relationships/hyperlink" Target="mailto:rim.97sharma@gmail.com" TargetMode="External"/><Relationship Id="rId111" Type="http://schemas.openxmlformats.org/officeDocument/2006/relationships/hyperlink" Target="mailto:Rohit1.singh@live.com" TargetMode="External"/><Relationship Id="rId132" Type="http://schemas.openxmlformats.org/officeDocument/2006/relationships/hyperlink" Target="mailto:srikantharjun22@gmail.com%20" TargetMode="External"/><Relationship Id="rId15" Type="http://schemas.openxmlformats.org/officeDocument/2006/relationships/hyperlink" Target="https://www.linkedin.com/in/makkala-yashovardhan" TargetMode="External"/><Relationship Id="rId36" Type="http://schemas.openxmlformats.org/officeDocument/2006/relationships/hyperlink" Target="https://www.linkedin.com/in/ashwini-pandey-b5565054/" TargetMode="External"/><Relationship Id="rId57" Type="http://schemas.openxmlformats.org/officeDocument/2006/relationships/hyperlink" Target="https://www.linkedin.com/in/suresh-mandava-19278327/" TargetMode="External"/><Relationship Id="rId106" Type="http://schemas.openxmlformats.org/officeDocument/2006/relationships/hyperlink" Target="mailto:vigneshvrs89@gmail.com" TargetMode="External"/><Relationship Id="rId127" Type="http://schemas.openxmlformats.org/officeDocument/2006/relationships/hyperlink" Target="mailto:sasapuvijayabhaskar@gmail.com%20" TargetMode="External"/><Relationship Id="rId10" Type="http://schemas.openxmlformats.org/officeDocument/2006/relationships/hyperlink" Target="https://www.linkedin.com/in/aritra-paul-5a89a0181" TargetMode="External"/><Relationship Id="rId31" Type="http://schemas.openxmlformats.org/officeDocument/2006/relationships/hyperlink" Target="https://www.linkedin.com/in/sneha-latha-jupalli-0b7655113/" TargetMode="External"/><Relationship Id="rId52" Type="http://schemas.openxmlformats.org/officeDocument/2006/relationships/hyperlink" Target="https://www.linkedin.com/in/k-j-surya/" TargetMode="External"/><Relationship Id="rId73" Type="http://schemas.openxmlformats.org/officeDocument/2006/relationships/hyperlink" Target="mailto:saranyadevic15@gmail.com" TargetMode="External"/><Relationship Id="rId78" Type="http://schemas.openxmlformats.org/officeDocument/2006/relationships/hyperlink" Target="mailto:rsd161093@gmail.com" TargetMode="External"/><Relationship Id="rId94" Type="http://schemas.openxmlformats.org/officeDocument/2006/relationships/hyperlink" Target="mailto:deepikailangovan@gmail.com" TargetMode="External"/><Relationship Id="rId99" Type="http://schemas.openxmlformats.org/officeDocument/2006/relationships/hyperlink" Target="mailto:rajithalla9@gmail.com" TargetMode="External"/><Relationship Id="rId101" Type="http://schemas.openxmlformats.org/officeDocument/2006/relationships/hyperlink" Target="mailto:msatyahariprasad@gmail.com" TargetMode="External"/><Relationship Id="rId122" Type="http://schemas.openxmlformats.org/officeDocument/2006/relationships/hyperlink" Target="mailto:baibhavraj123@gmail.com" TargetMode="External"/><Relationship Id="rId143" Type="http://schemas.openxmlformats.org/officeDocument/2006/relationships/hyperlink" Target="mailto:srinivas.t22735@gmail.com" TargetMode="External"/><Relationship Id="rId4" Type="http://schemas.openxmlformats.org/officeDocument/2006/relationships/hyperlink" Target="https://www.linkedin.com/in/rahul-dusane-6a68399b/" TargetMode="External"/><Relationship Id="rId9" Type="http://schemas.openxmlformats.org/officeDocument/2006/relationships/hyperlink" Target="https://www.linkedin.com/in/moha-saxena-1b7628208/" TargetMode="External"/><Relationship Id="rId26" Type="http://schemas.openxmlformats.org/officeDocument/2006/relationships/hyperlink" Target="https://www.linkedin.com/in/vaibhav-sanghai-6655a5203" TargetMode="External"/><Relationship Id="rId47" Type="http://schemas.openxmlformats.org/officeDocument/2006/relationships/hyperlink" Target="https://www.linkedin.com/in/vijaya-bhaskar-sasapu-0796691b3/" TargetMode="External"/><Relationship Id="rId68" Type="http://schemas.openxmlformats.org/officeDocument/2006/relationships/hyperlink" Target="https://www.linkedin.com/in/mayank-tripathi-91611321b/" TargetMode="External"/><Relationship Id="rId89" Type="http://schemas.openxmlformats.org/officeDocument/2006/relationships/hyperlink" Target="mailto:keerthanarm4@gmail.com" TargetMode="External"/><Relationship Id="rId112" Type="http://schemas.openxmlformats.org/officeDocument/2006/relationships/hyperlink" Target="mailto:Ojas151197@gmail.com" TargetMode="External"/><Relationship Id="rId133" Type="http://schemas.openxmlformats.org/officeDocument/2006/relationships/hyperlink" Target="mailto:kovid.dasari1998@gmail.com%20" TargetMode="External"/><Relationship Id="rId16" Type="http://schemas.openxmlformats.org/officeDocument/2006/relationships/hyperlink" Target="https://www.linkedin.com/in/darbasthdeepak" TargetMode="External"/><Relationship Id="rId37" Type="http://schemas.openxmlformats.org/officeDocument/2006/relationships/hyperlink" Target="http://linkedin.com/in/lakshmi-navya-sree-p-27b046282/" TargetMode="External"/><Relationship Id="rId58" Type="http://schemas.openxmlformats.org/officeDocument/2006/relationships/hyperlink" Target="https://www.linkedin.com/in/pavan-madana-6b52691a1/" TargetMode="External"/><Relationship Id="rId79" Type="http://schemas.openxmlformats.org/officeDocument/2006/relationships/hyperlink" Target="mailto:manisha.vudugu@gmail.com" TargetMode="External"/><Relationship Id="rId102" Type="http://schemas.openxmlformats.org/officeDocument/2006/relationships/hyperlink" Target="mailto:swarnali.jobs1202@gmail.com" TargetMode="External"/><Relationship Id="rId123" Type="http://schemas.openxmlformats.org/officeDocument/2006/relationships/hyperlink" Target="mailto:senthilrajssk@gmail.com" TargetMode="External"/><Relationship Id="rId144" Type="http://schemas.openxmlformats.org/officeDocument/2006/relationships/hyperlink" Target="mailto:gmaneendra19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"/>
  <sheetViews>
    <sheetView tabSelected="1" workbookViewId="0">
      <pane xSplit="4" ySplit="1" topLeftCell="E38" activePane="bottomRight" state="frozen"/>
      <selection pane="topRight"/>
      <selection pane="bottomLeft"/>
      <selection pane="bottomRight"/>
    </sheetView>
  </sheetViews>
  <sheetFormatPr defaultColWidth="9.1796875" defaultRowHeight="15" customHeight="1"/>
  <cols>
    <col min="1" max="1" width="29.26953125" customWidth="1"/>
    <col min="2" max="2" width="6.453125" style="5" customWidth="1"/>
    <col min="3" max="3" width="7.453125" style="5" customWidth="1"/>
    <col min="4" max="4" width="7" style="5" customWidth="1"/>
    <col min="5" max="5" width="14.7265625" style="5" customWidth="1"/>
    <col min="6" max="6" width="11" style="5" customWidth="1"/>
    <col min="7" max="7" width="10.81640625" style="10" customWidth="1"/>
    <col min="8" max="8" width="16.1796875" style="10" customWidth="1"/>
    <col min="9" max="9" width="12.7265625" style="5" customWidth="1"/>
    <col min="10" max="10" width="16.1796875" style="5" customWidth="1"/>
    <col min="11" max="12" width="11.26953125" customWidth="1"/>
    <col min="13" max="13" width="10.81640625" bestFit="1" customWidth="1"/>
    <col min="14" max="14" width="14.26953125" style="8" bestFit="1" customWidth="1"/>
    <col min="15" max="15" width="29" bestFit="1" customWidth="1"/>
    <col min="16" max="16" width="29" customWidth="1"/>
    <col min="17" max="17" width="14.7265625" customWidth="1"/>
    <col min="18" max="18" width="12.1796875" customWidth="1"/>
    <col min="19" max="19" width="15" style="8" customWidth="1"/>
    <col min="20" max="20" width="18" style="8" customWidth="1"/>
    <col min="21" max="21" width="29" customWidth="1"/>
    <col min="22" max="22" width="24.453125" customWidth="1"/>
    <col min="23" max="23" width="15.81640625" style="8" customWidth="1"/>
    <col min="24" max="25" width="29.54296875" customWidth="1"/>
    <col min="26" max="26" width="23" customWidth="1"/>
    <col min="27" max="27" width="63.26953125" customWidth="1"/>
    <col min="28" max="28" width="34.81640625" customWidth="1"/>
  </cols>
  <sheetData>
    <row r="1" spans="1:31" s="188" customFormat="1" ht="89.25" customHeight="1">
      <c r="A1" s="179" t="s">
        <v>0</v>
      </c>
      <c r="B1" s="180" t="s">
        <v>1</v>
      </c>
      <c r="C1" s="180" t="s">
        <v>2</v>
      </c>
      <c r="D1" s="180" t="s">
        <v>3</v>
      </c>
      <c r="E1" s="180" t="s">
        <v>4</v>
      </c>
      <c r="F1" s="180" t="s">
        <v>5</v>
      </c>
      <c r="G1" s="181" t="s">
        <v>6</v>
      </c>
      <c r="H1" s="181" t="s">
        <v>7</v>
      </c>
      <c r="I1" s="180" t="s">
        <v>8</v>
      </c>
      <c r="J1" s="180" t="s">
        <v>9</v>
      </c>
      <c r="K1" s="179" t="s">
        <v>10</v>
      </c>
      <c r="L1" s="179" t="s">
        <v>11</v>
      </c>
      <c r="M1" s="179" t="s">
        <v>12</v>
      </c>
      <c r="N1" s="182" t="s">
        <v>13</v>
      </c>
      <c r="O1" s="179" t="s">
        <v>14</v>
      </c>
      <c r="P1" s="179" t="s">
        <v>15</v>
      </c>
      <c r="Q1" s="179" t="s">
        <v>16</v>
      </c>
      <c r="R1" s="179" t="s">
        <v>17</v>
      </c>
      <c r="S1" s="183" t="s">
        <v>18</v>
      </c>
      <c r="T1" s="184" t="s">
        <v>19</v>
      </c>
      <c r="U1" s="185" t="s">
        <v>20</v>
      </c>
      <c r="V1" s="189" t="s">
        <v>21</v>
      </c>
      <c r="W1" s="259" t="s">
        <v>22</v>
      </c>
      <c r="X1" s="192" t="s">
        <v>23</v>
      </c>
      <c r="Y1" s="192" t="s">
        <v>24</v>
      </c>
      <c r="Z1" s="193" t="s">
        <v>25</v>
      </c>
      <c r="AA1" s="186" t="s">
        <v>26</v>
      </c>
      <c r="AB1" s="187" t="s">
        <v>27</v>
      </c>
    </row>
    <row r="2" spans="1:31" ht="14.5">
      <c r="A2" s="78" t="s">
        <v>28</v>
      </c>
      <c r="B2" s="3">
        <v>5</v>
      </c>
      <c r="C2" s="3">
        <v>5</v>
      </c>
      <c r="D2" s="3">
        <v>3</v>
      </c>
      <c r="E2" s="3">
        <v>19</v>
      </c>
      <c r="F2" s="3">
        <v>32</v>
      </c>
      <c r="G2" s="79">
        <f>(F2 - E2) / E2</f>
        <v>0.68421052631578949</v>
      </c>
      <c r="H2" s="79"/>
      <c r="I2" s="3">
        <v>90</v>
      </c>
      <c r="J2" s="3">
        <v>90</v>
      </c>
      <c r="K2" s="1">
        <f>PRODUCT(E2,100,42)</f>
        <v>79800</v>
      </c>
      <c r="L2" s="1">
        <f>PRODUCT(F2,100,42)</f>
        <v>134400</v>
      </c>
      <c r="M2" s="1">
        <f>L2/12</f>
        <v>11200</v>
      </c>
      <c r="N2" s="9">
        <v>8660467626</v>
      </c>
      <c r="O2" s="1" t="s">
        <v>29</v>
      </c>
      <c r="P2" s="1" t="s">
        <v>30</v>
      </c>
      <c r="Q2" s="1"/>
      <c r="R2" s="1"/>
      <c r="S2" s="30" t="s">
        <v>31</v>
      </c>
      <c r="T2" s="30" t="s">
        <v>31</v>
      </c>
      <c r="U2" s="30" t="s">
        <v>32</v>
      </c>
      <c r="V2" s="30"/>
      <c r="W2" s="30" t="s">
        <v>33</v>
      </c>
      <c r="X2" s="1" t="s">
        <v>34</v>
      </c>
      <c r="Y2" s="281" t="s">
        <v>35</v>
      </c>
      <c r="AA2" t="s">
        <v>36</v>
      </c>
    </row>
    <row r="3" spans="1:31" ht="14.5">
      <c r="A3" s="54" t="s">
        <v>37</v>
      </c>
      <c r="B3" s="54">
        <v>2.6</v>
      </c>
      <c r="C3" s="54">
        <v>2.6</v>
      </c>
      <c r="D3" s="54">
        <v>2.6</v>
      </c>
      <c r="E3" s="54">
        <v>4.5</v>
      </c>
      <c r="F3" s="54" t="s">
        <v>38</v>
      </c>
      <c r="G3" s="54" t="s">
        <v>39</v>
      </c>
      <c r="H3" s="54"/>
      <c r="I3" s="152" t="s">
        <v>40</v>
      </c>
      <c r="J3" s="152" t="s">
        <v>40</v>
      </c>
      <c r="K3" s="54">
        <v>18900</v>
      </c>
      <c r="L3" s="54"/>
      <c r="M3" s="54" t="s">
        <v>39</v>
      </c>
      <c r="N3" s="154">
        <v>7075072003</v>
      </c>
      <c r="O3" s="159" t="s">
        <v>41</v>
      </c>
      <c r="P3" s="159" t="s">
        <v>42</v>
      </c>
      <c r="Q3" s="159"/>
      <c r="R3" s="159"/>
      <c r="S3" s="161" t="s">
        <v>43</v>
      </c>
      <c r="T3" s="163" t="s">
        <v>39</v>
      </c>
      <c r="U3" s="94" t="s">
        <v>44</v>
      </c>
      <c r="V3" s="54" t="s">
        <v>39</v>
      </c>
      <c r="W3" s="41">
        <v>25</v>
      </c>
      <c r="X3" s="40" t="s">
        <v>45</v>
      </c>
      <c r="Y3" s="40"/>
      <c r="Z3" s="68"/>
      <c r="AA3" t="s">
        <v>36</v>
      </c>
    </row>
    <row r="4" spans="1:31" ht="17.25" customHeight="1">
      <c r="A4" s="54" t="s">
        <v>46</v>
      </c>
      <c r="B4" s="54">
        <v>4.3</v>
      </c>
      <c r="C4" s="54"/>
      <c r="D4" s="54">
        <v>4</v>
      </c>
      <c r="E4" s="54">
        <v>18.5</v>
      </c>
      <c r="F4" s="54">
        <v>26.5</v>
      </c>
      <c r="G4" s="54" t="s">
        <v>39</v>
      </c>
      <c r="H4" s="54" t="s">
        <v>47</v>
      </c>
      <c r="I4" s="54">
        <v>30</v>
      </c>
      <c r="J4" s="152" t="s">
        <v>48</v>
      </c>
      <c r="K4" s="54"/>
      <c r="L4" s="54"/>
      <c r="M4" s="54"/>
      <c r="N4" s="154">
        <v>9583302656</v>
      </c>
      <c r="O4" s="54" t="s">
        <v>49</v>
      </c>
      <c r="P4" s="54" t="s">
        <v>50</v>
      </c>
      <c r="Q4" s="54"/>
      <c r="R4" s="54"/>
      <c r="S4" s="247" t="s">
        <v>51</v>
      </c>
      <c r="T4" s="154" t="s">
        <v>52</v>
      </c>
      <c r="U4" s="40" t="s">
        <v>44</v>
      </c>
      <c r="V4" s="165"/>
      <c r="W4" s="41" t="s">
        <v>53</v>
      </c>
      <c r="X4" s="11" t="s">
        <v>54</v>
      </c>
      <c r="Y4" s="11" t="s">
        <v>55</v>
      </c>
      <c r="Z4" s="68"/>
      <c r="AA4" t="str">
        <f>$AA$75</f>
        <v>BG-NA</v>
      </c>
    </row>
    <row r="5" spans="1:31" s="89" customFormat="1" ht="15" customHeight="1">
      <c r="A5" s="110" t="s">
        <v>56</v>
      </c>
      <c r="B5" s="111">
        <v>6.5</v>
      </c>
      <c r="C5" s="111">
        <v>6.5</v>
      </c>
      <c r="D5" s="111">
        <v>4.5</v>
      </c>
      <c r="E5" s="111">
        <v>19.5</v>
      </c>
      <c r="F5" s="111">
        <v>27</v>
      </c>
      <c r="G5" s="102"/>
      <c r="H5" s="81" t="s">
        <v>57</v>
      </c>
      <c r="I5" s="111">
        <v>45</v>
      </c>
      <c r="J5" s="111" t="s">
        <v>58</v>
      </c>
      <c r="K5" s="103">
        <f>PRODUCT(E5,100,42)</f>
        <v>81900</v>
      </c>
      <c r="L5" s="103">
        <f>PRODUCT(F5,100,42)</f>
        <v>113400</v>
      </c>
      <c r="M5" s="103">
        <f>L5/12</f>
        <v>9450</v>
      </c>
      <c r="N5" s="112">
        <v>8017716897</v>
      </c>
      <c r="O5" s="110" t="s">
        <v>59</v>
      </c>
      <c r="P5" s="110" t="s">
        <v>60</v>
      </c>
      <c r="Q5" s="110"/>
      <c r="R5" s="110"/>
      <c r="S5" s="113" t="s">
        <v>61</v>
      </c>
      <c r="T5" s="112" t="s">
        <v>62</v>
      </c>
      <c r="U5" s="114" t="s">
        <v>63</v>
      </c>
      <c r="V5" s="107"/>
      <c r="W5" s="83" t="s">
        <v>64</v>
      </c>
      <c r="X5" s="88" t="s">
        <v>65</v>
      </c>
      <c r="Y5" s="88" t="s">
        <v>57</v>
      </c>
      <c r="Z5" s="115" t="s">
        <v>66</v>
      </c>
      <c r="AA5" s="89" t="s">
        <v>67</v>
      </c>
    </row>
    <row r="6" spans="1:31" ht="44.25" customHeight="1">
      <c r="A6" s="2" t="s">
        <v>68</v>
      </c>
      <c r="B6" s="4">
        <v>13</v>
      </c>
      <c r="C6" s="4">
        <v>6</v>
      </c>
      <c r="D6" s="4">
        <v>4</v>
      </c>
      <c r="E6" s="4">
        <v>37</v>
      </c>
      <c r="F6" s="168" t="s">
        <v>69</v>
      </c>
      <c r="G6" s="169"/>
      <c r="H6" s="169"/>
      <c r="I6" s="4">
        <v>90</v>
      </c>
      <c r="J6" s="4">
        <v>90</v>
      </c>
      <c r="K6" s="2"/>
      <c r="L6" s="2"/>
      <c r="M6" s="2"/>
      <c r="N6" s="274" t="s">
        <v>70</v>
      </c>
      <c r="O6" s="6" t="s">
        <v>71</v>
      </c>
      <c r="P6" s="2"/>
      <c r="Q6" s="2"/>
      <c r="R6" s="2"/>
      <c r="S6" s="2" t="s">
        <v>72</v>
      </c>
      <c r="T6" s="9" t="s">
        <v>73</v>
      </c>
      <c r="U6" s="11" t="s">
        <v>44</v>
      </c>
      <c r="V6" s="65"/>
      <c r="W6" s="14" t="s">
        <v>74</v>
      </c>
      <c r="X6" s="11"/>
      <c r="Y6" s="11" t="s">
        <v>75</v>
      </c>
      <c r="Z6" s="68"/>
      <c r="AA6" t="s">
        <v>36</v>
      </c>
    </row>
    <row r="7" spans="1:31" ht="14.5">
      <c r="A7" s="37" t="s">
        <v>76</v>
      </c>
      <c r="B7" s="3">
        <v>11</v>
      </c>
      <c r="C7" s="3">
        <v>11</v>
      </c>
      <c r="D7" s="3">
        <v>8</v>
      </c>
      <c r="E7" s="3">
        <v>30</v>
      </c>
      <c r="F7" s="3">
        <v>45</v>
      </c>
      <c r="G7" s="24"/>
      <c r="H7" s="24" t="s">
        <v>77</v>
      </c>
      <c r="I7" s="3">
        <v>90</v>
      </c>
      <c r="J7" s="3">
        <v>90</v>
      </c>
      <c r="K7" s="1">
        <f>PRODUCT(E7,100,42)</f>
        <v>126000</v>
      </c>
      <c r="L7" s="1">
        <f>PRODUCT(F7,100,42)</f>
        <v>189000</v>
      </c>
      <c r="M7" s="1">
        <f>L7/12</f>
        <v>15750</v>
      </c>
      <c r="N7" s="29" t="s">
        <v>78</v>
      </c>
      <c r="O7" s="2" t="s">
        <v>79</v>
      </c>
      <c r="P7" s="2" t="s">
        <v>80</v>
      </c>
      <c r="Q7" s="2"/>
      <c r="R7" s="2"/>
      <c r="S7" s="7" t="s">
        <v>81</v>
      </c>
      <c r="T7" s="9"/>
      <c r="U7" s="11"/>
      <c r="V7" s="65"/>
      <c r="W7" s="14"/>
      <c r="X7" s="11"/>
      <c r="Y7" s="11" t="s">
        <v>82</v>
      </c>
      <c r="Z7" s="66"/>
      <c r="AA7" t="s">
        <v>36</v>
      </c>
    </row>
    <row r="8" spans="1:31" ht="14.5">
      <c r="A8" s="32" t="s">
        <v>83</v>
      </c>
      <c r="B8" s="31">
        <v>17</v>
      </c>
      <c r="C8" s="31">
        <v>13</v>
      </c>
      <c r="D8" s="31">
        <v>13</v>
      </c>
      <c r="E8" s="31">
        <v>37</v>
      </c>
      <c r="F8" s="31">
        <v>48</v>
      </c>
      <c r="G8" s="24"/>
      <c r="H8" s="24"/>
      <c r="I8" s="31">
        <v>60</v>
      </c>
      <c r="J8" s="31" t="s">
        <v>84</v>
      </c>
      <c r="K8" s="1">
        <f>PRODUCT(E8,100,42)</f>
        <v>155400</v>
      </c>
      <c r="L8" s="1">
        <f>PRODUCT(F8,100,42)</f>
        <v>201600</v>
      </c>
      <c r="M8" s="1">
        <f>L8/12</f>
        <v>16800</v>
      </c>
      <c r="N8" s="33" t="s">
        <v>85</v>
      </c>
      <c r="O8" s="34" t="s">
        <v>86</v>
      </c>
      <c r="P8" s="35" t="s">
        <v>87</v>
      </c>
      <c r="Q8" s="35"/>
      <c r="R8" s="35"/>
      <c r="S8" s="36" t="s">
        <v>88</v>
      </c>
      <c r="T8" s="59"/>
      <c r="U8" s="57"/>
      <c r="V8" s="65"/>
      <c r="W8" s="14"/>
      <c r="X8" s="11"/>
      <c r="Y8" s="11" t="s">
        <v>75</v>
      </c>
      <c r="Z8" s="67" t="s">
        <v>89</v>
      </c>
      <c r="AA8" t="s">
        <v>36</v>
      </c>
    </row>
    <row r="9" spans="1:31" ht="14.5">
      <c r="A9" s="2" t="s">
        <v>90</v>
      </c>
      <c r="B9" s="4">
        <v>4</v>
      </c>
      <c r="C9" s="4"/>
      <c r="D9" s="4">
        <v>2.5</v>
      </c>
      <c r="E9" s="4">
        <v>18</v>
      </c>
      <c r="F9" s="2">
        <v>25</v>
      </c>
      <c r="G9" s="169"/>
      <c r="H9" s="208" t="s">
        <v>91</v>
      </c>
      <c r="I9" s="4">
        <v>30</v>
      </c>
      <c r="J9" s="4" t="s">
        <v>92</v>
      </c>
      <c r="K9" s="2"/>
      <c r="L9" s="2"/>
      <c r="M9" s="2"/>
      <c r="N9" s="9">
        <v>9550896806</v>
      </c>
      <c r="O9" s="35" t="s">
        <v>93</v>
      </c>
      <c r="P9" s="35" t="s">
        <v>94</v>
      </c>
      <c r="Q9" s="35"/>
      <c r="R9" s="35"/>
      <c r="S9" s="7" t="s">
        <v>95</v>
      </c>
      <c r="T9" s="9" t="s">
        <v>95</v>
      </c>
      <c r="U9" s="11" t="s">
        <v>44</v>
      </c>
      <c r="V9" s="65" t="s">
        <v>96</v>
      </c>
      <c r="W9" s="14">
        <v>8.6999999999999993</v>
      </c>
      <c r="X9" s="11" t="s">
        <v>97</v>
      </c>
      <c r="Y9" s="11"/>
      <c r="Z9" s="68"/>
      <c r="AA9" t="s">
        <v>36</v>
      </c>
    </row>
    <row r="10" spans="1:31" ht="14.5">
      <c r="A10" s="54" t="s">
        <v>98</v>
      </c>
      <c r="B10" s="13">
        <v>3.5</v>
      </c>
      <c r="C10" s="54">
        <v>3.3</v>
      </c>
      <c r="D10" s="13">
        <v>3</v>
      </c>
      <c r="E10" s="54">
        <v>5</v>
      </c>
      <c r="F10" s="54">
        <v>16</v>
      </c>
      <c r="G10" s="54" t="s">
        <v>39</v>
      </c>
      <c r="H10" s="54" t="s">
        <v>77</v>
      </c>
      <c r="I10" s="13">
        <v>30</v>
      </c>
      <c r="J10" s="13">
        <v>30</v>
      </c>
      <c r="K10" s="54">
        <v>21000</v>
      </c>
      <c r="L10" s="54">
        <v>68800</v>
      </c>
      <c r="M10" s="54">
        <v>3850</v>
      </c>
      <c r="N10" s="154">
        <v>9701697050</v>
      </c>
      <c r="O10" s="54" t="s">
        <v>99</v>
      </c>
      <c r="P10" s="159" t="s">
        <v>100</v>
      </c>
      <c r="Q10" s="159"/>
      <c r="R10" s="159"/>
      <c r="S10" s="54" t="s">
        <v>101</v>
      </c>
      <c r="T10" s="154" t="s">
        <v>102</v>
      </c>
      <c r="U10" s="40" t="s">
        <v>44</v>
      </c>
      <c r="V10" s="165" t="s">
        <v>103</v>
      </c>
      <c r="W10" s="41">
        <v>23</v>
      </c>
      <c r="X10" s="40" t="s">
        <v>104</v>
      </c>
      <c r="Y10" s="40"/>
      <c r="Z10" s="92" t="s">
        <v>105</v>
      </c>
      <c r="AA10" t="s">
        <v>36</v>
      </c>
    </row>
    <row r="11" spans="1:31" s="89" customFormat="1" ht="14.5">
      <c r="A11" s="103" t="s">
        <v>106</v>
      </c>
      <c r="B11" s="109">
        <v>5</v>
      </c>
      <c r="C11" s="109">
        <v>5</v>
      </c>
      <c r="D11" s="109">
        <v>4</v>
      </c>
      <c r="E11" s="109">
        <v>15</v>
      </c>
      <c r="F11" s="109">
        <v>23</v>
      </c>
      <c r="G11" s="102"/>
      <c r="H11" s="102" t="s">
        <v>77</v>
      </c>
      <c r="I11" s="109" t="s">
        <v>107</v>
      </c>
      <c r="J11" s="109" t="s">
        <v>108</v>
      </c>
      <c r="K11" s="103">
        <f>PRODUCT(E11,100,42)</f>
        <v>63000</v>
      </c>
      <c r="L11" s="103">
        <f>PRODUCT(F11,100,42)</f>
        <v>96600</v>
      </c>
      <c r="M11" s="103">
        <f>L11/12</f>
        <v>8050</v>
      </c>
      <c r="N11" s="104">
        <v>7288869190</v>
      </c>
      <c r="O11" s="100" t="s">
        <v>109</v>
      </c>
      <c r="P11" s="100" t="s">
        <v>110</v>
      </c>
      <c r="Q11" s="100"/>
      <c r="R11" s="100"/>
      <c r="S11" s="106" t="s">
        <v>111</v>
      </c>
      <c r="T11" s="104" t="s">
        <v>112</v>
      </c>
      <c r="U11" s="88" t="s">
        <v>63</v>
      </c>
      <c r="V11" s="107"/>
      <c r="W11" s="83"/>
      <c r="X11" s="88"/>
      <c r="Y11" s="88" t="s">
        <v>57</v>
      </c>
      <c r="Z11" s="108"/>
      <c r="AA11" s="89" t="s">
        <v>67</v>
      </c>
    </row>
    <row r="12" spans="1:31" s="89" customFormat="1" ht="14.5">
      <c r="A12" s="103" t="s">
        <v>113</v>
      </c>
      <c r="B12" s="109">
        <v>5</v>
      </c>
      <c r="C12" s="109">
        <v>3</v>
      </c>
      <c r="D12" s="101">
        <v>3</v>
      </c>
      <c r="E12" s="101">
        <v>25.5</v>
      </c>
      <c r="F12" s="101">
        <v>35</v>
      </c>
      <c r="G12" s="102"/>
      <c r="H12" s="81" t="s">
        <v>57</v>
      </c>
      <c r="I12" s="101">
        <v>60</v>
      </c>
      <c r="J12" s="101">
        <v>60</v>
      </c>
      <c r="K12" s="103">
        <f>PRODUCT(E12,100,42)</f>
        <v>107100</v>
      </c>
      <c r="L12" s="103">
        <f>PRODUCT(F12,100,42)</f>
        <v>147000</v>
      </c>
      <c r="M12" s="103">
        <f>L12/12</f>
        <v>12250</v>
      </c>
      <c r="N12" s="104">
        <v>8368323259</v>
      </c>
      <c r="O12" s="100" t="s">
        <v>114</v>
      </c>
      <c r="P12" s="100" t="s">
        <v>115</v>
      </c>
      <c r="Q12" s="100"/>
      <c r="R12" s="100"/>
      <c r="S12" s="106" t="s">
        <v>116</v>
      </c>
      <c r="T12" s="104" t="s">
        <v>112</v>
      </c>
      <c r="U12" s="88" t="s">
        <v>63</v>
      </c>
      <c r="V12" s="107"/>
      <c r="W12" s="83"/>
      <c r="X12" s="88"/>
      <c r="Y12" s="88" t="s">
        <v>57</v>
      </c>
      <c r="Z12" s="108"/>
      <c r="AA12" s="89" t="s">
        <v>67</v>
      </c>
    </row>
    <row r="13" spans="1:31" ht="14.5">
      <c r="A13" s="2" t="s">
        <v>117</v>
      </c>
      <c r="B13" s="4">
        <v>7.6</v>
      </c>
      <c r="C13" s="4">
        <v>4</v>
      </c>
      <c r="D13" s="4">
        <v>3.5</v>
      </c>
      <c r="E13" s="4" t="s">
        <v>118</v>
      </c>
      <c r="F13" s="4">
        <v>36</v>
      </c>
      <c r="G13" s="169"/>
      <c r="H13" s="169" t="s">
        <v>119</v>
      </c>
      <c r="I13" s="4">
        <v>30</v>
      </c>
      <c r="J13" s="202">
        <v>46145</v>
      </c>
      <c r="K13" s="2"/>
      <c r="L13" s="2"/>
      <c r="M13" s="2"/>
      <c r="N13" s="9">
        <f>9866995485</f>
        <v>9866995485</v>
      </c>
      <c r="O13" s="35" t="s">
        <v>120</v>
      </c>
      <c r="P13" s="35" t="s">
        <v>121</v>
      </c>
      <c r="Q13" s="35"/>
      <c r="R13" s="35"/>
      <c r="S13" s="7" t="s">
        <v>122</v>
      </c>
      <c r="T13" s="9" t="s">
        <v>123</v>
      </c>
      <c r="U13" s="11" t="s">
        <v>44</v>
      </c>
      <c r="V13" s="65"/>
      <c r="W13" s="14" t="s">
        <v>124</v>
      </c>
      <c r="X13" s="11" t="s">
        <v>125</v>
      </c>
      <c r="Y13" s="11" t="s">
        <v>55</v>
      </c>
      <c r="Z13" s="68"/>
      <c r="AA13" t="s">
        <v>36</v>
      </c>
      <c r="AB13" t="s">
        <v>126</v>
      </c>
    </row>
    <row r="14" spans="1:31" s="127" customFormat="1" ht="15.5">
      <c r="A14" s="2" t="s">
        <v>127</v>
      </c>
      <c r="B14" s="4">
        <v>19</v>
      </c>
      <c r="C14" s="4">
        <v>12</v>
      </c>
      <c r="D14" s="4"/>
      <c r="E14" s="167" t="s">
        <v>128</v>
      </c>
      <c r="F14" s="167" t="s">
        <v>129</v>
      </c>
      <c r="G14" s="24"/>
      <c r="H14" s="25" t="s">
        <v>130</v>
      </c>
      <c r="I14" s="4">
        <v>30</v>
      </c>
      <c r="J14" s="4" t="s">
        <v>131</v>
      </c>
      <c r="K14" s="1">
        <f>PRODUCT(E14,100,42)</f>
        <v>4200</v>
      </c>
      <c r="L14" s="1"/>
      <c r="M14" s="1">
        <f>L14/12</f>
        <v>0</v>
      </c>
      <c r="N14" s="9" t="s">
        <v>132</v>
      </c>
      <c r="O14" s="6" t="s">
        <v>133</v>
      </c>
      <c r="P14" s="173" t="s">
        <v>134</v>
      </c>
      <c r="Q14" s="173"/>
      <c r="R14" s="173"/>
      <c r="S14" s="175" t="s">
        <v>135</v>
      </c>
      <c r="T14" s="176" t="s">
        <v>135</v>
      </c>
      <c r="U14" s="16" t="s">
        <v>44</v>
      </c>
      <c r="V14" s="65"/>
      <c r="W14" s="14">
        <v>23</v>
      </c>
      <c r="X14" s="11" t="s">
        <v>136</v>
      </c>
      <c r="Y14" s="11" t="s">
        <v>75</v>
      </c>
      <c r="Z14" s="178" t="s">
        <v>137</v>
      </c>
      <c r="AA14" t="s">
        <v>36</v>
      </c>
      <c r="AB14"/>
      <c r="AC14"/>
      <c r="AD14"/>
      <c r="AE14"/>
    </row>
    <row r="15" spans="1:31" ht="12" customHeight="1">
      <c r="A15" s="19" t="s">
        <v>138</v>
      </c>
      <c r="B15" s="166">
        <v>11</v>
      </c>
      <c r="C15" s="166"/>
      <c r="D15" s="166">
        <v>2</v>
      </c>
      <c r="E15" s="166"/>
      <c r="G15" s="311"/>
      <c r="H15" s="27" t="s">
        <v>139</v>
      </c>
      <c r="I15" s="166"/>
      <c r="J15" s="166"/>
      <c r="K15" s="171"/>
      <c r="L15" s="69"/>
      <c r="M15" s="69"/>
      <c r="N15" s="172" t="s">
        <v>140</v>
      </c>
      <c r="O15" s="22" t="s">
        <v>141</v>
      </c>
      <c r="P15" s="69" t="s">
        <v>142</v>
      </c>
      <c r="Q15" s="69"/>
      <c r="R15" s="69"/>
      <c r="S15" s="174" t="s">
        <v>143</v>
      </c>
      <c r="T15" s="174" t="s">
        <v>144</v>
      </c>
      <c r="U15" s="69" t="s">
        <v>44</v>
      </c>
      <c r="V15" s="69"/>
      <c r="W15" s="174">
        <v>24</v>
      </c>
      <c r="X15" s="69"/>
      <c r="Y15" s="69" t="s">
        <v>75</v>
      </c>
      <c r="AA15" t="s">
        <v>145</v>
      </c>
      <c r="AB15" t="s">
        <v>146</v>
      </c>
    </row>
    <row r="16" spans="1:31" s="97" customFormat="1" ht="14.5">
      <c r="A16" s="54" t="s">
        <v>147</v>
      </c>
      <c r="B16" s="54">
        <v>3</v>
      </c>
      <c r="C16" s="54">
        <v>3</v>
      </c>
      <c r="D16" s="54">
        <v>3</v>
      </c>
      <c r="E16" s="54">
        <v>9</v>
      </c>
      <c r="F16" s="54" t="s">
        <v>38</v>
      </c>
      <c r="G16" s="54"/>
      <c r="H16" s="318" t="s">
        <v>77</v>
      </c>
      <c r="I16" s="170" t="s">
        <v>148</v>
      </c>
      <c r="J16" s="170" t="s">
        <v>148</v>
      </c>
      <c r="K16" s="54">
        <v>37800</v>
      </c>
      <c r="L16" s="54">
        <v>4200</v>
      </c>
      <c r="M16" s="54" t="s">
        <v>39</v>
      </c>
      <c r="N16" s="53">
        <v>8500914614</v>
      </c>
      <c r="O16" s="54" t="s">
        <v>149</v>
      </c>
      <c r="P16" s="159" t="s">
        <v>150</v>
      </c>
      <c r="Q16" s="159"/>
      <c r="R16" s="159"/>
      <c r="S16" s="54" t="s">
        <v>151</v>
      </c>
      <c r="T16" s="154" t="s">
        <v>152</v>
      </c>
      <c r="U16" s="40" t="s">
        <v>153</v>
      </c>
      <c r="V16" s="165" t="s">
        <v>154</v>
      </c>
      <c r="W16" s="41">
        <v>25</v>
      </c>
      <c r="X16" s="40" t="s">
        <v>155</v>
      </c>
      <c r="Y16" s="40" t="s">
        <v>77</v>
      </c>
      <c r="Z16" s="92"/>
      <c r="AA16" s="53" t="s">
        <v>36</v>
      </c>
      <c r="AB16"/>
      <c r="AC16"/>
      <c r="AD16"/>
      <c r="AE16"/>
    </row>
    <row r="17" spans="1:34" s="89" customFormat="1" ht="14.5">
      <c r="A17" s="100" t="s">
        <v>156</v>
      </c>
      <c r="B17" s="101">
        <v>12</v>
      </c>
      <c r="C17" s="101">
        <v>8</v>
      </c>
      <c r="D17" s="101">
        <v>8</v>
      </c>
      <c r="E17" s="101">
        <v>40</v>
      </c>
      <c r="F17" s="101"/>
      <c r="G17" s="102"/>
      <c r="H17" s="81" t="s">
        <v>57</v>
      </c>
      <c r="I17" s="101">
        <v>90</v>
      </c>
      <c r="J17" s="101">
        <v>90</v>
      </c>
      <c r="K17" s="103">
        <f>PRODUCT(E17,100,42)</f>
        <v>168000</v>
      </c>
      <c r="L17" s="103">
        <f>PRODUCT(F17,100,42)</f>
        <v>4200</v>
      </c>
      <c r="M17" s="103">
        <f>L17/12</f>
        <v>350</v>
      </c>
      <c r="N17" s="104">
        <v>8019677246</v>
      </c>
      <c r="O17" s="100" t="s">
        <v>157</v>
      </c>
      <c r="P17" s="105" t="s">
        <v>158</v>
      </c>
      <c r="Q17" s="105"/>
      <c r="R17" s="105"/>
      <c r="S17" s="106" t="s">
        <v>159</v>
      </c>
      <c r="T17" s="104" t="s">
        <v>112</v>
      </c>
      <c r="U17" s="88" t="s">
        <v>63</v>
      </c>
      <c r="V17" s="107"/>
      <c r="W17" s="83"/>
      <c r="X17" s="88"/>
      <c r="Y17" s="88" t="s">
        <v>57</v>
      </c>
      <c r="Z17" s="108"/>
      <c r="AA17" s="89" t="s">
        <v>67</v>
      </c>
    </row>
    <row r="18" spans="1:34" ht="14.5">
      <c r="A18" s="54" t="s">
        <v>160</v>
      </c>
      <c r="B18" s="92">
        <v>12</v>
      </c>
      <c r="C18" s="92">
        <v>12</v>
      </c>
      <c r="D18" s="92">
        <v>7</v>
      </c>
      <c r="E18" s="92">
        <v>45</v>
      </c>
      <c r="F18" s="92">
        <v>47</v>
      </c>
      <c r="G18" s="92" t="s">
        <v>39</v>
      </c>
      <c r="H18" s="45" t="s">
        <v>161</v>
      </c>
      <c r="I18" s="267" t="s">
        <v>40</v>
      </c>
      <c r="J18" s="267" t="s">
        <v>40</v>
      </c>
      <c r="K18" s="92">
        <v>210000</v>
      </c>
      <c r="L18" s="92">
        <v>168000</v>
      </c>
      <c r="M18" s="92">
        <v>14000</v>
      </c>
      <c r="N18" s="268">
        <v>9738722701</v>
      </c>
      <c r="O18" s="54" t="s">
        <v>162</v>
      </c>
      <c r="P18" s="269" t="s">
        <v>163</v>
      </c>
      <c r="Q18" s="269"/>
      <c r="R18" s="269"/>
      <c r="S18" s="92" t="s">
        <v>164</v>
      </c>
      <c r="T18" s="268" t="s">
        <v>165</v>
      </c>
      <c r="U18" s="40" t="s">
        <v>166</v>
      </c>
      <c r="V18" s="91" t="s">
        <v>154</v>
      </c>
      <c r="W18" s="41">
        <v>8.1999999999999993</v>
      </c>
      <c r="X18" s="90" t="s">
        <v>167</v>
      </c>
      <c r="Y18" s="90" t="s">
        <v>75</v>
      </c>
      <c r="Z18" s="92" t="s">
        <v>168</v>
      </c>
      <c r="AA18" t="s">
        <v>36</v>
      </c>
    </row>
    <row r="19" spans="1:34" ht="14.5">
      <c r="A19" s="2" t="s">
        <v>169</v>
      </c>
      <c r="B19" s="4">
        <v>4.2</v>
      </c>
      <c r="C19" s="4">
        <v>4</v>
      </c>
      <c r="D19" s="4">
        <v>2.5</v>
      </c>
      <c r="E19" s="4">
        <v>11</v>
      </c>
      <c r="F19" s="4">
        <v>19</v>
      </c>
      <c r="G19" s="312"/>
      <c r="H19" s="42" t="s">
        <v>77</v>
      </c>
      <c r="I19" s="316" t="s">
        <v>40</v>
      </c>
      <c r="J19" s="4" t="s">
        <v>170</v>
      </c>
      <c r="K19" s="2"/>
      <c r="L19" s="2"/>
      <c r="M19" s="2"/>
      <c r="N19" s="9">
        <v>8778865902</v>
      </c>
      <c r="O19" s="35" t="s">
        <v>171</v>
      </c>
      <c r="P19" s="35" t="s">
        <v>172</v>
      </c>
      <c r="Q19" s="35"/>
      <c r="R19" s="35"/>
      <c r="S19" s="7" t="s">
        <v>81</v>
      </c>
      <c r="T19" s="9" t="s">
        <v>173</v>
      </c>
      <c r="U19" s="11" t="s">
        <v>174</v>
      </c>
      <c r="V19" s="65"/>
      <c r="W19" s="14">
        <v>24</v>
      </c>
      <c r="X19" s="11" t="s">
        <v>175</v>
      </c>
      <c r="Y19" s="11" t="s">
        <v>77</v>
      </c>
      <c r="Z19" s="69"/>
      <c r="AA19" t="str">
        <f>$AA$75</f>
        <v>BG-NA</v>
      </c>
    </row>
    <row r="20" spans="1:34" ht="14.5">
      <c r="A20" s="19" t="s">
        <v>176</v>
      </c>
      <c r="B20" s="20">
        <v>10</v>
      </c>
      <c r="C20" s="20">
        <v>10</v>
      </c>
      <c r="D20" s="20">
        <v>9</v>
      </c>
      <c r="E20" s="20">
        <v>39</v>
      </c>
      <c r="F20" s="20">
        <v>50</v>
      </c>
      <c r="G20" s="311"/>
      <c r="H20" s="27"/>
      <c r="I20" s="166">
        <v>90</v>
      </c>
      <c r="J20" s="20">
        <v>90</v>
      </c>
      <c r="K20" s="26">
        <f>PRODUCT(E20,100,42)</f>
        <v>163800</v>
      </c>
      <c r="L20" s="26">
        <f>PRODUCT(F20,100,42)</f>
        <v>210000</v>
      </c>
      <c r="M20" s="26">
        <f>L20/12</f>
        <v>17500</v>
      </c>
      <c r="N20" s="21"/>
      <c r="O20" s="19"/>
      <c r="P20" s="22" t="s">
        <v>177</v>
      </c>
      <c r="Q20" s="22"/>
      <c r="R20" s="22"/>
      <c r="S20" s="23" t="s">
        <v>178</v>
      </c>
      <c r="T20" s="21"/>
      <c r="U20" s="11"/>
      <c r="V20" s="65"/>
      <c r="W20" s="14"/>
      <c r="X20" s="11"/>
      <c r="Y20" s="11" t="s">
        <v>75</v>
      </c>
      <c r="Z20" s="64"/>
      <c r="AA20" t="s">
        <v>36</v>
      </c>
    </row>
    <row r="21" spans="1:34" ht="14.5">
      <c r="A21" s="11" t="s">
        <v>179</v>
      </c>
      <c r="B21" s="12">
        <v>4</v>
      </c>
      <c r="C21" s="13">
        <v>4</v>
      </c>
      <c r="D21" s="13">
        <v>1</v>
      </c>
      <c r="E21" s="13">
        <v>11</v>
      </c>
      <c r="F21" s="13">
        <v>18</v>
      </c>
      <c r="G21" s="229"/>
      <c r="H21" s="27"/>
      <c r="I21" s="149">
        <v>45</v>
      </c>
      <c r="J21" s="13" t="s">
        <v>180</v>
      </c>
      <c r="K21" s="28">
        <f>PRODUCT(E21,100,42)</f>
        <v>46200</v>
      </c>
      <c r="L21" s="28">
        <f>PRODUCT(F21,100,42)</f>
        <v>75600</v>
      </c>
      <c r="M21" s="28">
        <f>L21/12</f>
        <v>6300</v>
      </c>
      <c r="N21" s="14">
        <v>9642226505</v>
      </c>
      <c r="O21" s="11" t="s">
        <v>181</v>
      </c>
      <c r="P21" s="11" t="s">
        <v>182</v>
      </c>
      <c r="Q21" s="11" t="s">
        <v>183</v>
      </c>
      <c r="R21" s="11" t="s">
        <v>184</v>
      </c>
      <c r="S21" s="15" t="s">
        <v>185</v>
      </c>
      <c r="T21" s="60" t="s">
        <v>165</v>
      </c>
      <c r="U21" s="11" t="s">
        <v>186</v>
      </c>
      <c r="V21" s="11" t="s">
        <v>154</v>
      </c>
      <c r="W21" s="256">
        <v>25</v>
      </c>
      <c r="X21" s="70" t="s">
        <v>187</v>
      </c>
      <c r="Y21" s="70" t="s">
        <v>75</v>
      </c>
      <c r="Z21" t="s">
        <v>36</v>
      </c>
      <c r="AA21" t="s">
        <v>36</v>
      </c>
    </row>
    <row r="22" spans="1:34" ht="23.25" customHeight="1">
      <c r="A22" s="11" t="s">
        <v>188</v>
      </c>
      <c r="B22" s="13">
        <v>11</v>
      </c>
      <c r="C22" s="13">
        <v>9</v>
      </c>
      <c r="D22" s="13">
        <v>2</v>
      </c>
      <c r="E22" s="13">
        <v>23</v>
      </c>
      <c r="F22" s="13">
        <v>32</v>
      </c>
      <c r="G22" s="42"/>
      <c r="H22" s="319" t="s">
        <v>189</v>
      </c>
      <c r="I22" s="13" t="s">
        <v>40</v>
      </c>
      <c r="J22" s="13" t="s">
        <v>190</v>
      </c>
      <c r="K22" s="11"/>
      <c r="L22" s="11"/>
      <c r="M22" s="11"/>
      <c r="N22" s="14">
        <v>9952519898</v>
      </c>
      <c r="O22" s="73" t="s">
        <v>191</v>
      </c>
      <c r="P22" s="73" t="s">
        <v>192</v>
      </c>
      <c r="Q22" s="73"/>
      <c r="R22" s="73"/>
      <c r="S22" s="14" t="s">
        <v>193</v>
      </c>
      <c r="T22" s="60" t="s">
        <v>194</v>
      </c>
      <c r="U22" s="11" t="s">
        <v>174</v>
      </c>
      <c r="V22" s="11"/>
      <c r="W22" s="157">
        <v>24</v>
      </c>
      <c r="X22" s="11" t="s">
        <v>195</v>
      </c>
      <c r="Y22" s="11" t="s">
        <v>35</v>
      </c>
      <c r="Z22" s="11"/>
      <c r="AA22" t="str">
        <f>$AA$75</f>
        <v>BG-NA</v>
      </c>
      <c r="AB22" s="120" t="s">
        <v>196</v>
      </c>
    </row>
    <row r="23" spans="1:34" ht="14.5">
      <c r="A23" s="11" t="s">
        <v>197</v>
      </c>
      <c r="B23" s="13">
        <v>4.5999999999999996</v>
      </c>
      <c r="C23" s="13"/>
      <c r="D23" s="203">
        <v>4.5999999999999996</v>
      </c>
      <c r="E23" s="13">
        <v>24</v>
      </c>
      <c r="F23" s="13">
        <v>30</v>
      </c>
      <c r="G23" s="42"/>
      <c r="H23" s="48" t="s">
        <v>119</v>
      </c>
      <c r="I23" s="13">
        <v>30</v>
      </c>
      <c r="J23" s="13">
        <v>30</v>
      </c>
      <c r="K23" s="11"/>
      <c r="L23" s="11"/>
      <c r="M23" s="11"/>
      <c r="N23" s="14">
        <v>7558141728</v>
      </c>
      <c r="O23" s="73" t="s">
        <v>198</v>
      </c>
      <c r="P23" s="73" t="s">
        <v>199</v>
      </c>
      <c r="Q23" s="73"/>
      <c r="R23" s="73"/>
      <c r="S23" s="14" t="s">
        <v>200</v>
      </c>
      <c r="T23" s="60" t="s">
        <v>201</v>
      </c>
      <c r="U23" s="11" t="s">
        <v>202</v>
      </c>
      <c r="V23" s="11"/>
      <c r="W23" s="157">
        <v>24</v>
      </c>
      <c r="X23" s="11" t="s">
        <v>203</v>
      </c>
      <c r="Y23" s="11" t="s">
        <v>55</v>
      </c>
      <c r="Z23" s="11"/>
      <c r="AA23" t="str">
        <f>$AA$75</f>
        <v>BG-NA</v>
      </c>
    </row>
    <row r="24" spans="1:34" s="52" customFormat="1" ht="14.5">
      <c r="A24" s="334" t="s">
        <v>204</v>
      </c>
      <c r="B24" s="335">
        <v>6</v>
      </c>
      <c r="C24" s="335">
        <v>4</v>
      </c>
      <c r="D24" s="335">
        <v>4</v>
      </c>
      <c r="E24" s="335">
        <v>18</v>
      </c>
      <c r="F24" s="335">
        <v>26</v>
      </c>
      <c r="G24" s="313"/>
      <c r="H24" s="50"/>
      <c r="I24" s="336">
        <v>90</v>
      </c>
      <c r="J24" s="335" t="s">
        <v>205</v>
      </c>
      <c r="K24" s="51">
        <f>PRODUCT(E24,100,42)</f>
        <v>75600</v>
      </c>
      <c r="L24" s="51">
        <f>PRODUCT(F24,100,42)</f>
        <v>109200</v>
      </c>
      <c r="M24" s="51">
        <f>L24/12</f>
        <v>9100</v>
      </c>
      <c r="N24" s="337">
        <v>9182833980</v>
      </c>
      <c r="O24" s="334" t="s">
        <v>206</v>
      </c>
      <c r="P24" s="290" t="s">
        <v>207</v>
      </c>
      <c r="Q24" s="334" t="s">
        <v>208</v>
      </c>
      <c r="R24" s="334" t="s">
        <v>209</v>
      </c>
      <c r="S24" s="337" t="s">
        <v>210</v>
      </c>
      <c r="T24" s="293" t="s">
        <v>211</v>
      </c>
      <c r="U24" s="334" t="s">
        <v>186</v>
      </c>
      <c r="V24" s="334"/>
      <c r="W24" s="338">
        <v>8.6</v>
      </c>
      <c r="X24" s="334" t="s">
        <v>212</v>
      </c>
      <c r="Y24" s="334" t="s">
        <v>75</v>
      </c>
      <c r="Z24" s="335"/>
      <c r="AA24" s="339" t="s">
        <v>36</v>
      </c>
      <c r="AB24" s="339"/>
      <c r="AC24" s="339"/>
      <c r="AD24" s="339"/>
      <c r="AE24" s="339"/>
      <c r="AF24" s="339"/>
      <c r="AG24" s="339"/>
      <c r="AH24" s="339"/>
    </row>
    <row r="25" spans="1:34" ht="14.5">
      <c r="A25" s="210" t="s">
        <v>213</v>
      </c>
      <c r="B25" s="90">
        <v>2.2000000000000002</v>
      </c>
      <c r="C25" s="90">
        <v>2.2000000000000002</v>
      </c>
      <c r="D25" s="90">
        <v>2.2000000000000002</v>
      </c>
      <c r="E25" s="90">
        <v>10</v>
      </c>
      <c r="F25" s="90">
        <v>10</v>
      </c>
      <c r="G25" s="91" t="s">
        <v>39</v>
      </c>
      <c r="H25" s="325"/>
      <c r="I25" s="137" t="s">
        <v>40</v>
      </c>
      <c r="J25" s="137" t="s">
        <v>40</v>
      </c>
      <c r="K25" s="90">
        <v>4200</v>
      </c>
      <c r="L25" s="90">
        <v>43000</v>
      </c>
      <c r="M25" s="90" t="s">
        <v>39</v>
      </c>
      <c r="N25" s="90">
        <v>8317624639</v>
      </c>
      <c r="O25" s="93" t="s">
        <v>214</v>
      </c>
      <c r="P25" s="93" t="s">
        <v>215</v>
      </c>
      <c r="Q25" s="93"/>
      <c r="R25" s="93"/>
      <c r="S25" s="95" t="s">
        <v>216</v>
      </c>
      <c r="T25" s="91" t="s">
        <v>165</v>
      </c>
      <c r="U25" s="40" t="s">
        <v>217</v>
      </c>
      <c r="V25" s="90" t="s">
        <v>154</v>
      </c>
      <c r="W25" s="260">
        <v>24</v>
      </c>
      <c r="X25" s="90" t="s">
        <v>218</v>
      </c>
      <c r="Y25" s="90" t="s">
        <v>75</v>
      </c>
      <c r="Z25" s="11"/>
      <c r="AA25" t="s">
        <v>36</v>
      </c>
    </row>
    <row r="26" spans="1:34" ht="18" customHeight="1">
      <c r="A26" s="11" t="s">
        <v>219</v>
      </c>
      <c r="B26" s="13">
        <v>8.3000000000000007</v>
      </c>
      <c r="C26" s="13">
        <v>1</v>
      </c>
      <c r="D26" s="13">
        <v>3.5</v>
      </c>
      <c r="E26" s="13">
        <v>21</v>
      </c>
      <c r="F26" s="13">
        <v>30</v>
      </c>
      <c r="G26" s="229"/>
      <c r="H26" s="324" t="s">
        <v>91</v>
      </c>
      <c r="I26" s="149">
        <v>60</v>
      </c>
      <c r="J26" s="13" t="s">
        <v>220</v>
      </c>
      <c r="K26" s="28">
        <f t="shared" ref="K26:L32" si="0">PRODUCT(E26,100,42)</f>
        <v>88200</v>
      </c>
      <c r="L26" s="28">
        <f t="shared" si="0"/>
        <v>126000</v>
      </c>
      <c r="M26" s="28">
        <f t="shared" ref="M26:M34" si="1">L26/12</f>
        <v>10500</v>
      </c>
      <c r="N26" s="194" t="s">
        <v>221</v>
      </c>
      <c r="O26" s="73" t="s">
        <v>222</v>
      </c>
      <c r="P26" s="195" t="s">
        <v>223</v>
      </c>
      <c r="Q26" s="195" t="s">
        <v>208</v>
      </c>
      <c r="R26" s="195" t="s">
        <v>224</v>
      </c>
      <c r="S26" s="196" t="s">
        <v>225</v>
      </c>
      <c r="T26" s="76" t="s">
        <v>135</v>
      </c>
      <c r="U26" s="73" t="s">
        <v>166</v>
      </c>
      <c r="V26" s="11"/>
      <c r="W26" s="157">
        <v>24</v>
      </c>
      <c r="X26" s="11" t="s">
        <v>226</v>
      </c>
      <c r="Y26" s="11" t="s">
        <v>35</v>
      </c>
      <c r="Z26" s="11"/>
      <c r="AA26" t="s">
        <v>227</v>
      </c>
    </row>
    <row r="27" spans="1:34" s="89" customFormat="1" ht="14.5">
      <c r="A27" s="88" t="s">
        <v>228</v>
      </c>
      <c r="B27" s="80">
        <v>10</v>
      </c>
      <c r="C27" s="80"/>
      <c r="D27" s="80">
        <v>6</v>
      </c>
      <c r="E27" s="80">
        <v>20</v>
      </c>
      <c r="F27" s="80">
        <v>30</v>
      </c>
      <c r="G27" s="314"/>
      <c r="H27" s="320" t="s">
        <v>57</v>
      </c>
      <c r="I27" s="317">
        <v>60</v>
      </c>
      <c r="J27" s="80" t="s">
        <v>220</v>
      </c>
      <c r="K27" s="82">
        <f t="shared" si="0"/>
        <v>84000</v>
      </c>
      <c r="L27" s="82">
        <f t="shared" si="0"/>
        <v>126000</v>
      </c>
      <c r="M27" s="82">
        <f t="shared" si="1"/>
        <v>10500</v>
      </c>
      <c r="N27" s="83">
        <v>9742953535</v>
      </c>
      <c r="O27" s="84" t="s">
        <v>229</v>
      </c>
      <c r="P27" s="88" t="s">
        <v>230</v>
      </c>
      <c r="Q27" s="88"/>
      <c r="R27" s="88"/>
      <c r="S27" s="83" t="s">
        <v>231</v>
      </c>
      <c r="T27" s="99" t="s">
        <v>112</v>
      </c>
      <c r="U27" s="88" t="s">
        <v>63</v>
      </c>
      <c r="V27" s="88"/>
      <c r="W27" s="261"/>
      <c r="X27" s="88"/>
      <c r="Y27" s="88" t="s">
        <v>57</v>
      </c>
      <c r="Z27" s="88"/>
      <c r="AA27" s="89" t="s">
        <v>67</v>
      </c>
      <c r="AB27" s="89" t="s">
        <v>232</v>
      </c>
    </row>
    <row r="28" spans="1:34" s="89" customFormat="1" ht="14.25" customHeight="1">
      <c r="A28" s="301" t="s">
        <v>233</v>
      </c>
      <c r="B28" s="80">
        <v>3.2</v>
      </c>
      <c r="C28" s="80">
        <v>3.2</v>
      </c>
      <c r="D28" s="80">
        <v>3.2</v>
      </c>
      <c r="E28" s="80">
        <v>4.5</v>
      </c>
      <c r="F28" s="80">
        <v>14</v>
      </c>
      <c r="G28" s="81"/>
      <c r="H28" s="320" t="s">
        <v>57</v>
      </c>
      <c r="I28" s="80">
        <v>90</v>
      </c>
      <c r="J28" s="80" t="s">
        <v>234</v>
      </c>
      <c r="K28" s="82">
        <f t="shared" si="0"/>
        <v>18900</v>
      </c>
      <c r="L28" s="82">
        <f t="shared" si="0"/>
        <v>58800</v>
      </c>
      <c r="M28" s="82">
        <f t="shared" si="1"/>
        <v>4900</v>
      </c>
      <c r="N28" s="83">
        <v>9382260391</v>
      </c>
      <c r="O28" s="252" t="s">
        <v>235</v>
      </c>
      <c r="P28" s="248" t="s">
        <v>236</v>
      </c>
      <c r="Q28" s="248"/>
      <c r="R28" s="248"/>
      <c r="S28" s="250" t="s">
        <v>237</v>
      </c>
      <c r="T28" s="251" t="s">
        <v>211</v>
      </c>
      <c r="U28" s="252" t="s">
        <v>186</v>
      </c>
      <c r="V28" s="88"/>
      <c r="W28" s="261">
        <v>24</v>
      </c>
      <c r="X28" s="88" t="s">
        <v>54</v>
      </c>
      <c r="Y28" s="88" t="s">
        <v>75</v>
      </c>
      <c r="Z28" s="88"/>
      <c r="AA28" s="89" t="s">
        <v>36</v>
      </c>
    </row>
    <row r="29" spans="1:34" ht="14.5">
      <c r="A29" s="28" t="s">
        <v>238</v>
      </c>
      <c r="B29" s="12">
        <v>5</v>
      </c>
      <c r="C29" s="12">
        <v>5</v>
      </c>
      <c r="D29" s="12">
        <v>5</v>
      </c>
      <c r="E29" s="12">
        <v>18</v>
      </c>
      <c r="F29" s="12">
        <v>25</v>
      </c>
      <c r="G29" s="27"/>
      <c r="H29" s="208" t="s">
        <v>189</v>
      </c>
      <c r="I29" s="308" t="s">
        <v>40</v>
      </c>
      <c r="J29" s="12" t="s">
        <v>239</v>
      </c>
      <c r="K29" s="28">
        <f t="shared" si="0"/>
        <v>75600</v>
      </c>
      <c r="L29" s="28">
        <f t="shared" si="0"/>
        <v>105000</v>
      </c>
      <c r="M29" s="28">
        <f t="shared" si="1"/>
        <v>8750</v>
      </c>
      <c r="N29" s="155">
        <v>8919072893</v>
      </c>
      <c r="O29" s="28" t="s">
        <v>240</v>
      </c>
      <c r="P29" s="28" t="s">
        <v>241</v>
      </c>
      <c r="Q29" s="28"/>
      <c r="R29" s="28"/>
      <c r="S29" s="155" t="s">
        <v>242</v>
      </c>
      <c r="T29" s="155" t="s">
        <v>243</v>
      </c>
      <c r="U29" s="28" t="s">
        <v>186</v>
      </c>
      <c r="V29" s="11" t="s">
        <v>154</v>
      </c>
      <c r="W29" s="157">
        <v>7.8</v>
      </c>
      <c r="X29" s="11" t="s">
        <v>244</v>
      </c>
      <c r="Y29" s="11" t="s">
        <v>35</v>
      </c>
      <c r="Z29" s="28" t="s">
        <v>245</v>
      </c>
      <c r="AA29" t="s">
        <v>36</v>
      </c>
    </row>
    <row r="30" spans="1:34" ht="14.5">
      <c r="A30" s="11" t="s">
        <v>246</v>
      </c>
      <c r="B30" s="149">
        <v>4</v>
      </c>
      <c r="C30" s="149">
        <v>1</v>
      </c>
      <c r="D30" s="149">
        <v>3</v>
      </c>
      <c r="E30" s="149">
        <v>11</v>
      </c>
      <c r="F30" s="149">
        <v>20</v>
      </c>
      <c r="G30" s="307"/>
      <c r="H30" s="306" t="s">
        <v>189</v>
      </c>
      <c r="I30" s="128" t="s">
        <v>40</v>
      </c>
      <c r="J30" s="204">
        <v>46172</v>
      </c>
      <c r="K30" s="153">
        <f t="shared" si="0"/>
        <v>46200</v>
      </c>
      <c r="L30" s="153">
        <f t="shared" si="0"/>
        <v>84000</v>
      </c>
      <c r="M30" s="153">
        <f t="shared" si="1"/>
        <v>7000</v>
      </c>
      <c r="N30" s="157">
        <v>8466822167</v>
      </c>
      <c r="O30" s="205" t="s">
        <v>247</v>
      </c>
      <c r="P30" s="205" t="s">
        <v>248</v>
      </c>
      <c r="Q30" s="205"/>
      <c r="R30" s="205"/>
      <c r="S30" s="157" t="s">
        <v>210</v>
      </c>
      <c r="T30" s="206" t="s">
        <v>112</v>
      </c>
      <c r="U30" s="11" t="s">
        <v>249</v>
      </c>
      <c r="V30" s="64"/>
      <c r="W30" s="157">
        <v>24</v>
      </c>
      <c r="X30" s="64" t="s">
        <v>250</v>
      </c>
      <c r="Y30" s="64" t="s">
        <v>35</v>
      </c>
      <c r="Z30" s="64"/>
      <c r="AA30" t="s">
        <v>36</v>
      </c>
    </row>
    <row r="31" spans="1:34" ht="14.5">
      <c r="A31" s="11" t="s">
        <v>251</v>
      </c>
      <c r="B31" s="148">
        <v>5</v>
      </c>
      <c r="C31" s="149">
        <v>4</v>
      </c>
      <c r="D31" s="149">
        <v>4</v>
      </c>
      <c r="E31" s="149">
        <v>11</v>
      </c>
      <c r="F31" s="149">
        <v>30</v>
      </c>
      <c r="G31" s="150"/>
      <c r="H31" s="309" t="s">
        <v>91</v>
      </c>
      <c r="I31" s="310">
        <v>30</v>
      </c>
      <c r="J31" s="149">
        <v>30</v>
      </c>
      <c r="K31" s="153">
        <f t="shared" si="0"/>
        <v>46200</v>
      </c>
      <c r="L31" s="153">
        <f t="shared" si="0"/>
        <v>126000</v>
      </c>
      <c r="M31" s="153">
        <f t="shared" si="1"/>
        <v>10500</v>
      </c>
      <c r="N31" s="157">
        <v>7007101998</v>
      </c>
      <c r="O31" s="64" t="s">
        <v>252</v>
      </c>
      <c r="P31" s="205" t="s">
        <v>253</v>
      </c>
      <c r="Q31" s="205"/>
      <c r="R31" s="205"/>
      <c r="S31" s="157" t="s">
        <v>254</v>
      </c>
      <c r="T31" s="206" t="s">
        <v>255</v>
      </c>
      <c r="U31" s="11" t="s">
        <v>186</v>
      </c>
      <c r="V31" s="64"/>
      <c r="W31" s="157">
        <v>8.6999999999999993</v>
      </c>
      <c r="X31" s="64" t="s">
        <v>125</v>
      </c>
      <c r="Y31" s="64" t="s">
        <v>75</v>
      </c>
      <c r="Z31" s="11"/>
      <c r="AA31" t="s">
        <v>36</v>
      </c>
    </row>
    <row r="32" spans="1:34" ht="14.5">
      <c r="A32" s="11" t="s">
        <v>256</v>
      </c>
      <c r="B32" s="12">
        <v>5</v>
      </c>
      <c r="C32" s="12">
        <v>5</v>
      </c>
      <c r="D32" s="13">
        <v>5</v>
      </c>
      <c r="E32" s="13">
        <v>11</v>
      </c>
      <c r="F32" s="13">
        <v>20</v>
      </c>
      <c r="G32" s="27"/>
      <c r="H32" s="27" t="s">
        <v>257</v>
      </c>
      <c r="I32" s="13">
        <v>30</v>
      </c>
      <c r="J32" s="13" t="s">
        <v>258</v>
      </c>
      <c r="K32" s="28">
        <f t="shared" si="0"/>
        <v>46200</v>
      </c>
      <c r="L32" s="28">
        <f t="shared" si="0"/>
        <v>84000</v>
      </c>
      <c r="M32" s="28">
        <f t="shared" si="1"/>
        <v>7000</v>
      </c>
      <c r="N32" s="14">
        <v>8639877873</v>
      </c>
      <c r="O32" s="73" t="s">
        <v>259</v>
      </c>
      <c r="P32" s="11" t="s">
        <v>260</v>
      </c>
      <c r="Q32" s="11"/>
      <c r="R32" s="11"/>
      <c r="S32" s="14" t="s">
        <v>61</v>
      </c>
      <c r="T32" s="60" t="s">
        <v>165</v>
      </c>
      <c r="U32" s="11" t="s">
        <v>186</v>
      </c>
      <c r="V32" s="11" t="s">
        <v>154</v>
      </c>
      <c r="W32" s="157">
        <v>8.6</v>
      </c>
      <c r="X32" s="11" t="s">
        <v>261</v>
      </c>
      <c r="Y32" s="11" t="s">
        <v>35</v>
      </c>
      <c r="Z32" s="11"/>
      <c r="AA32" t="s">
        <v>36</v>
      </c>
    </row>
    <row r="33" spans="1:31" s="89" customFormat="1" ht="14.5">
      <c r="A33" s="88" t="s">
        <v>262</v>
      </c>
      <c r="B33" s="80">
        <v>10</v>
      </c>
      <c r="C33" s="80">
        <v>8</v>
      </c>
      <c r="D33" s="80">
        <v>2</v>
      </c>
      <c r="E33" s="80">
        <v>34</v>
      </c>
      <c r="F33" s="80" t="s">
        <v>38</v>
      </c>
      <c r="G33" s="81"/>
      <c r="H33" s="81" t="s">
        <v>57</v>
      </c>
      <c r="I33" s="80" t="s">
        <v>40</v>
      </c>
      <c r="J33" s="80" t="s">
        <v>40</v>
      </c>
      <c r="K33" s="82">
        <f>PRODUCT(E33,100,42)</f>
        <v>142800</v>
      </c>
      <c r="L33" s="82"/>
      <c r="M33" s="82">
        <f t="shared" si="1"/>
        <v>0</v>
      </c>
      <c r="N33" s="83">
        <v>9966552516</v>
      </c>
      <c r="O33" s="84" t="s">
        <v>263</v>
      </c>
      <c r="P33" s="85" t="s">
        <v>264</v>
      </c>
      <c r="Q33" s="85"/>
      <c r="R33" s="85"/>
      <c r="S33" s="86" t="s">
        <v>225</v>
      </c>
      <c r="T33" s="87" t="s">
        <v>112</v>
      </c>
      <c r="U33" s="84" t="s">
        <v>265</v>
      </c>
      <c r="V33" s="88"/>
      <c r="W33" s="261" t="s">
        <v>63</v>
      </c>
      <c r="X33" s="88" t="s">
        <v>266</v>
      </c>
      <c r="Y33" s="88" t="s">
        <v>57</v>
      </c>
      <c r="Z33" s="88"/>
      <c r="AA33" s="89" t="s">
        <v>67</v>
      </c>
    </row>
    <row r="34" spans="1:31" ht="14.5">
      <c r="A34" s="11" t="s">
        <v>46</v>
      </c>
      <c r="B34" s="13"/>
      <c r="C34" s="13"/>
      <c r="D34" s="13"/>
      <c r="E34" s="13">
        <v>18.5</v>
      </c>
      <c r="F34" s="13">
        <v>26.5</v>
      </c>
      <c r="G34" s="27"/>
      <c r="H34" s="45" t="s">
        <v>161</v>
      </c>
      <c r="I34" s="13">
        <v>60</v>
      </c>
      <c r="J34" s="13" t="s">
        <v>267</v>
      </c>
      <c r="K34" s="28">
        <f>PRODUCT(E34,100,42)</f>
        <v>77700</v>
      </c>
      <c r="L34" s="28">
        <f>PRODUCT(F34,100,42)</f>
        <v>111300</v>
      </c>
      <c r="M34" s="28">
        <f t="shared" si="1"/>
        <v>9275</v>
      </c>
      <c r="N34" s="14">
        <v>9583302656</v>
      </c>
      <c r="O34" s="11" t="s">
        <v>49</v>
      </c>
      <c r="P34" s="11" t="s">
        <v>50</v>
      </c>
      <c r="Q34" s="11"/>
      <c r="R34" s="11"/>
      <c r="S34" s="15" t="s">
        <v>51</v>
      </c>
      <c r="T34" s="60" t="s">
        <v>112</v>
      </c>
      <c r="U34" s="11" t="s">
        <v>62</v>
      </c>
      <c r="V34" s="11"/>
      <c r="W34" s="157"/>
      <c r="X34" s="11"/>
      <c r="Y34" s="11" t="s">
        <v>35</v>
      </c>
      <c r="Z34" s="11"/>
      <c r="AA34" t="s">
        <v>36</v>
      </c>
    </row>
    <row r="35" spans="1:31" ht="14.5">
      <c r="A35" s="11" t="s">
        <v>268</v>
      </c>
      <c r="B35" s="13">
        <v>4</v>
      </c>
      <c r="C35" s="13">
        <v>2</v>
      </c>
      <c r="D35" s="13">
        <v>2</v>
      </c>
      <c r="E35" s="13"/>
      <c r="F35" s="13"/>
      <c r="G35" s="315"/>
      <c r="H35" s="42"/>
      <c r="I35" s="149">
        <v>30</v>
      </c>
      <c r="J35" s="13" t="s">
        <v>269</v>
      </c>
      <c r="K35" s="11"/>
      <c r="L35" s="11"/>
      <c r="M35" s="11"/>
      <c r="N35" s="14">
        <v>9405357026</v>
      </c>
      <c r="O35" s="16" t="s">
        <v>270</v>
      </c>
      <c r="P35" s="16" t="s">
        <v>271</v>
      </c>
      <c r="Q35" s="16"/>
      <c r="R35" s="16"/>
      <c r="S35" s="14" t="s">
        <v>61</v>
      </c>
      <c r="T35" s="60" t="s">
        <v>272</v>
      </c>
      <c r="U35" s="11" t="s">
        <v>249</v>
      </c>
      <c r="V35" s="11"/>
      <c r="W35" s="262" t="s">
        <v>273</v>
      </c>
      <c r="X35" s="11" t="s">
        <v>274</v>
      </c>
      <c r="Y35" s="11" t="s">
        <v>75</v>
      </c>
      <c r="Z35" s="11"/>
      <c r="AA35" t="str">
        <f>$AA$75</f>
        <v>BG-NA</v>
      </c>
    </row>
    <row r="36" spans="1:31" s="98" customFormat="1" ht="14.5">
      <c r="A36" s="334" t="s">
        <v>275</v>
      </c>
      <c r="B36" s="149">
        <v>16</v>
      </c>
      <c r="C36" s="149"/>
      <c r="D36" s="149">
        <v>12</v>
      </c>
      <c r="E36" s="71" t="s">
        <v>276</v>
      </c>
      <c r="F36" s="149" t="s">
        <v>38</v>
      </c>
      <c r="G36" s="151"/>
      <c r="H36" s="321"/>
      <c r="I36" s="13">
        <v>30</v>
      </c>
      <c r="J36" s="13">
        <v>30</v>
      </c>
      <c r="K36" s="64"/>
      <c r="L36" s="64"/>
      <c r="M36" s="64"/>
      <c r="N36" s="157" t="s">
        <v>277</v>
      </c>
      <c r="O36" s="160" t="s">
        <v>278</v>
      </c>
      <c r="P36" s="160" t="s">
        <v>279</v>
      </c>
      <c r="Q36" s="160"/>
      <c r="R36" s="160"/>
      <c r="S36" s="157" t="s">
        <v>280</v>
      </c>
      <c r="T36" s="157" t="s">
        <v>280</v>
      </c>
      <c r="U36" s="64" t="s">
        <v>186</v>
      </c>
      <c r="V36" s="64"/>
      <c r="W36" s="157">
        <v>23</v>
      </c>
      <c r="X36" s="64" t="s">
        <v>281</v>
      </c>
      <c r="Y36" s="64" t="s">
        <v>75</v>
      </c>
      <c r="Z36" s="11"/>
      <c r="AA36" t="str">
        <f>$AA$75</f>
        <v>BG-NA</v>
      </c>
      <c r="AB36"/>
      <c r="AC36"/>
      <c r="AD36"/>
      <c r="AE36"/>
    </row>
    <row r="37" spans="1:31" s="89" customFormat="1" ht="14.5">
      <c r="A37" s="88" t="s">
        <v>282</v>
      </c>
      <c r="B37" s="80">
        <v>13</v>
      </c>
      <c r="C37" s="80"/>
      <c r="D37" s="80">
        <v>10</v>
      </c>
      <c r="E37" s="80">
        <v>85</v>
      </c>
      <c r="F37" s="80" t="s">
        <v>283</v>
      </c>
      <c r="G37" s="81"/>
      <c r="H37" s="81" t="s">
        <v>284</v>
      </c>
      <c r="I37" s="80">
        <v>60</v>
      </c>
      <c r="J37" s="80">
        <v>60</v>
      </c>
      <c r="K37" s="82">
        <f>PRODUCT(E37,100,42)</f>
        <v>357000</v>
      </c>
      <c r="L37" s="82">
        <f>PRODUCT(F37,100,42)</f>
        <v>4200</v>
      </c>
      <c r="M37" s="82">
        <f>L37/12</f>
        <v>350</v>
      </c>
      <c r="N37" s="83">
        <v>9392932943</v>
      </c>
      <c r="O37" s="84" t="s">
        <v>285</v>
      </c>
      <c r="P37" s="85" t="s">
        <v>286</v>
      </c>
      <c r="Q37" s="85"/>
      <c r="R37" s="85"/>
      <c r="S37" s="86" t="s">
        <v>225</v>
      </c>
      <c r="T37" s="87" t="s">
        <v>287</v>
      </c>
      <c r="U37" s="84" t="s">
        <v>63</v>
      </c>
      <c r="V37" s="88"/>
      <c r="W37" s="261" t="s">
        <v>288</v>
      </c>
      <c r="X37" s="88" t="s">
        <v>63</v>
      </c>
      <c r="Y37" s="88" t="s">
        <v>57</v>
      </c>
      <c r="Z37" s="88"/>
      <c r="AA37" s="89" t="s">
        <v>67</v>
      </c>
      <c r="AB37" s="89" t="s">
        <v>289</v>
      </c>
    </row>
    <row r="38" spans="1:31" ht="14.5">
      <c r="A38" s="327" t="s">
        <v>290</v>
      </c>
      <c r="B38" s="41">
        <v>4.5</v>
      </c>
      <c r="C38" s="41" t="s">
        <v>39</v>
      </c>
      <c r="D38" s="41">
        <v>4.5</v>
      </c>
      <c r="E38" s="41">
        <v>6.5</v>
      </c>
      <c r="F38" s="41">
        <v>13</v>
      </c>
      <c r="G38" s="328"/>
      <c r="H38" s="328" t="s">
        <v>77</v>
      </c>
      <c r="I38" s="13">
        <v>30</v>
      </c>
      <c r="J38" s="13">
        <v>30</v>
      </c>
      <c r="K38" s="41">
        <v>27300</v>
      </c>
      <c r="L38" s="41">
        <v>54600</v>
      </c>
      <c r="M38" s="41">
        <v>4550</v>
      </c>
      <c r="N38" s="41">
        <v>8074896379</v>
      </c>
      <c r="O38" s="41" t="s">
        <v>291</v>
      </c>
      <c r="P38" s="329" t="s">
        <v>292</v>
      </c>
      <c r="Q38" s="329"/>
      <c r="R38" s="329"/>
      <c r="S38" s="330" t="s">
        <v>81</v>
      </c>
      <c r="T38" s="331" t="s">
        <v>165</v>
      </c>
      <c r="U38" s="330" t="s">
        <v>186</v>
      </c>
      <c r="V38" s="330" t="s">
        <v>293</v>
      </c>
      <c r="W38" s="332">
        <v>8.8000000000000007</v>
      </c>
      <c r="X38" s="327" t="s">
        <v>294</v>
      </c>
      <c r="Y38" s="327"/>
      <c r="Z38" s="14"/>
      <c r="AA38" s="72" t="s">
        <v>36</v>
      </c>
      <c r="AB38" s="8"/>
      <c r="AC38" s="8"/>
      <c r="AD38" s="8"/>
      <c r="AE38" s="8"/>
    </row>
    <row r="39" spans="1:31" ht="14.5">
      <c r="A39" s="11" t="s">
        <v>295</v>
      </c>
      <c r="B39" s="13">
        <v>6</v>
      </c>
      <c r="C39" s="13"/>
      <c r="D39" s="13">
        <v>4.2</v>
      </c>
      <c r="E39" s="13">
        <v>18</v>
      </c>
      <c r="F39" s="13">
        <v>27</v>
      </c>
      <c r="G39" s="27"/>
      <c r="H39" s="27"/>
      <c r="I39" s="13">
        <v>60</v>
      </c>
      <c r="J39" s="13">
        <v>60</v>
      </c>
      <c r="K39" s="28">
        <f t="shared" ref="K39:L45" si="2">PRODUCT(E39,100,42)</f>
        <v>75600</v>
      </c>
      <c r="L39" s="28">
        <f t="shared" si="2"/>
        <v>113400</v>
      </c>
      <c r="M39" s="28">
        <f t="shared" ref="M39:M45" si="3">L39/12</f>
        <v>9450</v>
      </c>
      <c r="N39" s="14">
        <v>9182833980</v>
      </c>
      <c r="O39" s="16" t="s">
        <v>206</v>
      </c>
      <c r="P39" s="17" t="s">
        <v>296</v>
      </c>
      <c r="Q39" s="17"/>
      <c r="R39" s="17"/>
      <c r="S39" s="18" t="s">
        <v>237</v>
      </c>
      <c r="T39" s="61"/>
      <c r="U39" s="16"/>
      <c r="V39" s="11"/>
      <c r="W39" s="157"/>
      <c r="X39" s="11"/>
      <c r="Y39" s="11" t="s">
        <v>75</v>
      </c>
      <c r="Z39" s="11"/>
      <c r="AA39" t="s">
        <v>36</v>
      </c>
    </row>
    <row r="40" spans="1:31" s="89" customFormat="1" ht="14.5">
      <c r="A40" s="88" t="s">
        <v>297</v>
      </c>
      <c r="B40" s="80">
        <v>8.5</v>
      </c>
      <c r="C40" s="80"/>
      <c r="D40" s="80">
        <v>6</v>
      </c>
      <c r="E40" s="80">
        <v>35</v>
      </c>
      <c r="F40" s="80">
        <v>50</v>
      </c>
      <c r="G40" s="81"/>
      <c r="H40" s="81" t="s">
        <v>57</v>
      </c>
      <c r="I40" s="80">
        <v>60</v>
      </c>
      <c r="J40" s="80">
        <v>60</v>
      </c>
      <c r="K40" s="82">
        <f t="shared" si="2"/>
        <v>147000</v>
      </c>
      <c r="L40" s="82">
        <f t="shared" si="2"/>
        <v>210000</v>
      </c>
      <c r="M40" s="82">
        <f t="shared" si="3"/>
        <v>17500</v>
      </c>
      <c r="N40" s="83">
        <v>7504663435</v>
      </c>
      <c r="O40" s="84" t="s">
        <v>298</v>
      </c>
      <c r="P40" s="85" t="s">
        <v>299</v>
      </c>
      <c r="Q40" s="85"/>
      <c r="R40" s="85"/>
      <c r="S40" s="86" t="s">
        <v>225</v>
      </c>
      <c r="T40" s="87" t="s">
        <v>112</v>
      </c>
      <c r="U40" s="84" t="s">
        <v>63</v>
      </c>
      <c r="V40" s="88"/>
      <c r="W40" s="261" t="s">
        <v>63</v>
      </c>
      <c r="X40" s="88" t="s">
        <v>300</v>
      </c>
      <c r="Y40" s="88" t="s">
        <v>57</v>
      </c>
      <c r="Z40" s="88"/>
      <c r="AA40" s="89" t="s">
        <v>67</v>
      </c>
    </row>
    <row r="41" spans="1:31" s="235" customFormat="1" ht="14.5">
      <c r="A41" s="230" t="s">
        <v>301</v>
      </c>
      <c r="B41" s="231">
        <v>12</v>
      </c>
      <c r="C41" s="231">
        <v>6.5</v>
      </c>
      <c r="D41" s="231">
        <v>3</v>
      </c>
      <c r="E41" s="231">
        <v>29</v>
      </c>
      <c r="F41" s="231">
        <v>33</v>
      </c>
      <c r="G41" s="295"/>
      <c r="H41" s="295" t="s">
        <v>57</v>
      </c>
      <c r="I41" s="231">
        <v>60</v>
      </c>
      <c r="J41" s="231">
        <v>90</v>
      </c>
      <c r="K41" s="296">
        <f t="shared" si="2"/>
        <v>121800</v>
      </c>
      <c r="L41" s="296">
        <f t="shared" si="2"/>
        <v>138600</v>
      </c>
      <c r="M41" s="296">
        <f t="shared" si="3"/>
        <v>11550</v>
      </c>
      <c r="N41" s="233">
        <v>9620466221</v>
      </c>
      <c r="O41" s="234" t="s">
        <v>302</v>
      </c>
      <c r="P41" s="297" t="s">
        <v>303</v>
      </c>
      <c r="Q41" s="297"/>
      <c r="R41" s="297"/>
      <c r="S41" s="298" t="s">
        <v>304</v>
      </c>
      <c r="T41" s="299" t="s">
        <v>305</v>
      </c>
      <c r="U41" s="234" t="s">
        <v>44</v>
      </c>
      <c r="V41" s="230"/>
      <c r="W41" s="300">
        <v>24</v>
      </c>
      <c r="X41" s="230"/>
      <c r="Y41" s="230" t="s">
        <v>75</v>
      </c>
      <c r="Z41" s="230"/>
      <c r="AA41" s="235" t="s">
        <v>36</v>
      </c>
    </row>
    <row r="42" spans="1:31" ht="14.5">
      <c r="A42" s="11" t="s">
        <v>306</v>
      </c>
      <c r="B42" s="13">
        <v>6</v>
      </c>
      <c r="C42" s="13"/>
      <c r="D42" s="13">
        <v>4</v>
      </c>
      <c r="E42" s="13">
        <v>7</v>
      </c>
      <c r="F42" s="13">
        <v>18</v>
      </c>
      <c r="G42" s="27"/>
      <c r="H42" s="27"/>
      <c r="I42" s="13">
        <v>30</v>
      </c>
      <c r="J42" s="13" t="s">
        <v>307</v>
      </c>
      <c r="K42" s="28">
        <f t="shared" si="2"/>
        <v>29400</v>
      </c>
      <c r="L42" s="28">
        <f t="shared" si="2"/>
        <v>75600</v>
      </c>
      <c r="M42" s="28">
        <f t="shared" si="3"/>
        <v>6300</v>
      </c>
      <c r="N42" s="14">
        <v>6374969893</v>
      </c>
      <c r="O42" s="16" t="s">
        <v>308</v>
      </c>
      <c r="P42" s="17" t="s">
        <v>309</v>
      </c>
      <c r="Q42" s="17" t="s">
        <v>310</v>
      </c>
      <c r="R42" s="17" t="s">
        <v>311</v>
      </c>
      <c r="S42" s="18" t="s">
        <v>312</v>
      </c>
      <c r="T42" s="61" t="s">
        <v>165</v>
      </c>
      <c r="U42" s="16" t="s">
        <v>186</v>
      </c>
      <c r="V42" s="11" t="s">
        <v>154</v>
      </c>
      <c r="W42" s="157">
        <v>8.8000000000000007</v>
      </c>
      <c r="X42" s="11" t="s">
        <v>313</v>
      </c>
      <c r="Y42" s="11" t="s">
        <v>75</v>
      </c>
      <c r="Z42" s="11"/>
      <c r="AA42" t="s">
        <v>36</v>
      </c>
    </row>
    <row r="43" spans="1:31" s="89" customFormat="1" ht="14.5">
      <c r="A43" s="88" t="s">
        <v>314</v>
      </c>
      <c r="B43" s="80">
        <v>6.8</v>
      </c>
      <c r="C43" s="80"/>
      <c r="D43" s="80">
        <v>5</v>
      </c>
      <c r="E43" s="80">
        <v>27</v>
      </c>
      <c r="F43" s="80" t="s">
        <v>38</v>
      </c>
      <c r="G43" s="81"/>
      <c r="H43" s="81" t="s">
        <v>57</v>
      </c>
      <c r="I43" s="80">
        <v>30</v>
      </c>
      <c r="J43" s="80">
        <v>30</v>
      </c>
      <c r="K43" s="82">
        <f t="shared" si="2"/>
        <v>113400</v>
      </c>
      <c r="L43" s="82">
        <f t="shared" si="2"/>
        <v>4200</v>
      </c>
      <c r="M43" s="82">
        <f t="shared" si="3"/>
        <v>350</v>
      </c>
      <c r="N43" s="83">
        <v>8919232441</v>
      </c>
      <c r="O43" s="84" t="s">
        <v>315</v>
      </c>
      <c r="P43" s="85" t="s">
        <v>316</v>
      </c>
      <c r="Q43" s="85"/>
      <c r="R43" s="85"/>
      <c r="S43" s="116" t="s">
        <v>312</v>
      </c>
      <c r="T43" s="87" t="s">
        <v>112</v>
      </c>
      <c r="U43" s="84" t="s">
        <v>63</v>
      </c>
      <c r="V43" s="88" t="s">
        <v>300</v>
      </c>
      <c r="W43" s="261" t="s">
        <v>63</v>
      </c>
      <c r="X43" s="88" t="s">
        <v>317</v>
      </c>
      <c r="Y43" s="88" t="s">
        <v>57</v>
      </c>
      <c r="Z43" s="88"/>
      <c r="AA43" s="89" t="s">
        <v>67</v>
      </c>
    </row>
    <row r="44" spans="1:31" ht="14.5">
      <c r="A44" s="11" t="s">
        <v>318</v>
      </c>
      <c r="B44" s="13">
        <v>6.5</v>
      </c>
      <c r="C44" s="13">
        <v>1.5</v>
      </c>
      <c r="D44" s="13">
        <v>5</v>
      </c>
      <c r="E44" s="13">
        <v>26</v>
      </c>
      <c r="F44" s="13" t="s">
        <v>38</v>
      </c>
      <c r="G44" s="27"/>
      <c r="H44" s="27"/>
      <c r="I44" s="13">
        <v>45</v>
      </c>
      <c r="J44" s="13">
        <v>45</v>
      </c>
      <c r="K44" s="28">
        <f t="shared" si="2"/>
        <v>109200</v>
      </c>
      <c r="L44" s="28">
        <f t="shared" si="2"/>
        <v>4200</v>
      </c>
      <c r="M44" s="28">
        <f t="shared" si="3"/>
        <v>350</v>
      </c>
      <c r="N44" s="14">
        <v>9440404855</v>
      </c>
      <c r="O44" s="73" t="s">
        <v>319</v>
      </c>
      <c r="P44" s="74" t="s">
        <v>320</v>
      </c>
      <c r="Q44" s="74"/>
      <c r="R44" s="74"/>
      <c r="S44" s="75" t="s">
        <v>312</v>
      </c>
      <c r="T44" s="76" t="s">
        <v>321</v>
      </c>
      <c r="U44" s="73" t="s">
        <v>249</v>
      </c>
      <c r="V44" s="11"/>
      <c r="W44" s="157">
        <v>8</v>
      </c>
      <c r="X44" s="11" t="s">
        <v>322</v>
      </c>
      <c r="Y44" s="11" t="s">
        <v>75</v>
      </c>
      <c r="Z44" s="11"/>
      <c r="AA44" t="s">
        <v>227</v>
      </c>
      <c r="AB44" t="s">
        <v>323</v>
      </c>
    </row>
    <row r="45" spans="1:31" s="136" customFormat="1" ht="14.5">
      <c r="A45" s="130" t="s">
        <v>324</v>
      </c>
      <c r="B45" s="131">
        <v>4.7</v>
      </c>
      <c r="C45" s="131">
        <v>4.7</v>
      </c>
      <c r="D45" s="131">
        <v>4.7</v>
      </c>
      <c r="E45" s="131">
        <v>13</v>
      </c>
      <c r="F45" s="131">
        <v>20</v>
      </c>
      <c r="G45" s="141"/>
      <c r="H45" s="141" t="s">
        <v>325</v>
      </c>
      <c r="I45" s="131">
        <v>45</v>
      </c>
      <c r="J45" s="131" t="s">
        <v>267</v>
      </c>
      <c r="K45" s="142">
        <f t="shared" si="2"/>
        <v>54600</v>
      </c>
      <c r="L45" s="142">
        <f t="shared" si="2"/>
        <v>84000</v>
      </c>
      <c r="M45" s="142">
        <f t="shared" si="3"/>
        <v>7000</v>
      </c>
      <c r="N45" s="133">
        <v>9677169281</v>
      </c>
      <c r="O45" s="134" t="s">
        <v>326</v>
      </c>
      <c r="P45" s="258" t="s">
        <v>327</v>
      </c>
      <c r="Q45" s="258"/>
      <c r="R45" s="258"/>
      <c r="S45" s="283" t="s">
        <v>328</v>
      </c>
      <c r="T45" s="294" t="s">
        <v>329</v>
      </c>
      <c r="U45" s="134" t="s">
        <v>44</v>
      </c>
      <c r="V45" s="130" t="s">
        <v>330</v>
      </c>
      <c r="W45" s="255">
        <v>8.8000000000000007</v>
      </c>
      <c r="X45" s="130" t="s">
        <v>187</v>
      </c>
      <c r="Y45" s="130" t="s">
        <v>35</v>
      </c>
      <c r="Z45" s="130"/>
      <c r="AA45" s="136" t="s">
        <v>36</v>
      </c>
    </row>
    <row r="46" spans="1:31" ht="14.5">
      <c r="A46" s="40" t="s">
        <v>331</v>
      </c>
      <c r="B46" s="40">
        <v>3</v>
      </c>
      <c r="C46" s="40">
        <v>1</v>
      </c>
      <c r="D46" s="40">
        <v>2</v>
      </c>
      <c r="E46" s="40">
        <v>13</v>
      </c>
      <c r="F46" s="40">
        <v>17</v>
      </c>
      <c r="G46" s="40" t="s">
        <v>39</v>
      </c>
      <c r="H46" s="40"/>
      <c r="I46" s="138" t="s">
        <v>40</v>
      </c>
      <c r="J46" s="138" t="s">
        <v>332</v>
      </c>
      <c r="K46" s="40">
        <v>54600</v>
      </c>
      <c r="L46" s="40">
        <v>71400</v>
      </c>
      <c r="M46" s="40">
        <v>5950</v>
      </c>
      <c r="N46" s="40">
        <v>7358406650</v>
      </c>
      <c r="O46" s="40" t="s">
        <v>333</v>
      </c>
      <c r="P46" s="40" t="s">
        <v>334</v>
      </c>
      <c r="Q46" s="40"/>
      <c r="R46" s="40"/>
      <c r="S46" s="41" t="s">
        <v>165</v>
      </c>
      <c r="T46" s="165" t="s">
        <v>165</v>
      </c>
      <c r="U46" s="40" t="s">
        <v>249</v>
      </c>
      <c r="V46" s="40" t="s">
        <v>154</v>
      </c>
      <c r="W46" s="260">
        <v>24</v>
      </c>
      <c r="X46" s="40" t="s">
        <v>335</v>
      </c>
      <c r="Y46" s="40" t="s">
        <v>75</v>
      </c>
      <c r="Z46" s="40" t="s">
        <v>39</v>
      </c>
      <c r="AA46" s="53" t="s">
        <v>36</v>
      </c>
    </row>
    <row r="47" spans="1:31" ht="14.5">
      <c r="A47" s="11" t="s">
        <v>336</v>
      </c>
      <c r="B47" s="13">
        <v>4</v>
      </c>
      <c r="C47" s="13"/>
      <c r="D47" s="13">
        <v>4</v>
      </c>
      <c r="E47" s="13">
        <v>14</v>
      </c>
      <c r="F47" s="13">
        <v>20</v>
      </c>
      <c r="G47" s="27"/>
      <c r="H47" s="27"/>
      <c r="I47" s="13">
        <v>60</v>
      </c>
      <c r="J47" s="13">
        <v>60</v>
      </c>
      <c r="K47" s="28">
        <f t="shared" ref="K47:L53" si="4">PRODUCT(E47,100,42)</f>
        <v>58800</v>
      </c>
      <c r="L47" s="28">
        <f t="shared" si="4"/>
        <v>84000</v>
      </c>
      <c r="M47" s="28">
        <f t="shared" ref="M47:M53" si="5">L47/12</f>
        <v>7000</v>
      </c>
      <c r="N47" s="14">
        <v>6303775523</v>
      </c>
      <c r="O47" s="16" t="s">
        <v>229</v>
      </c>
      <c r="P47" s="11" t="s">
        <v>337</v>
      </c>
      <c r="Q47" s="11"/>
      <c r="R47" s="11"/>
      <c r="S47" s="18" t="s">
        <v>165</v>
      </c>
      <c r="T47" s="61" t="s">
        <v>243</v>
      </c>
      <c r="U47" s="16"/>
      <c r="V47" s="11"/>
      <c r="W47" s="157"/>
      <c r="X47" s="11"/>
      <c r="Y47" s="11" t="s">
        <v>75</v>
      </c>
      <c r="Z47" s="11"/>
      <c r="AA47" t="s">
        <v>36</v>
      </c>
    </row>
    <row r="48" spans="1:31" ht="14.5">
      <c r="A48" s="11" t="s">
        <v>338</v>
      </c>
      <c r="B48" s="13">
        <v>4.5</v>
      </c>
      <c r="C48" s="13"/>
      <c r="D48" s="13">
        <v>4.5</v>
      </c>
      <c r="E48" s="13">
        <v>13</v>
      </c>
      <c r="F48" s="13">
        <v>20</v>
      </c>
      <c r="G48" s="27"/>
      <c r="H48" s="27" t="s">
        <v>91</v>
      </c>
      <c r="I48" s="13">
        <v>45</v>
      </c>
      <c r="J48" s="13">
        <v>45</v>
      </c>
      <c r="K48" s="28">
        <f t="shared" si="4"/>
        <v>54600</v>
      </c>
      <c r="L48" s="28">
        <f t="shared" si="4"/>
        <v>84000</v>
      </c>
      <c r="M48" s="28">
        <f t="shared" si="5"/>
        <v>7000</v>
      </c>
      <c r="N48" s="14">
        <v>9515634626</v>
      </c>
      <c r="O48" s="16" t="s">
        <v>339</v>
      </c>
      <c r="P48" s="17" t="s">
        <v>340</v>
      </c>
      <c r="Q48" s="17"/>
      <c r="R48" s="17"/>
      <c r="S48" s="18" t="s">
        <v>81</v>
      </c>
      <c r="T48" s="61" t="s">
        <v>341</v>
      </c>
      <c r="U48" s="16" t="s">
        <v>186</v>
      </c>
      <c r="V48" s="11"/>
      <c r="W48" s="157" t="s">
        <v>342</v>
      </c>
      <c r="X48" s="11" t="s">
        <v>317</v>
      </c>
      <c r="Y48" s="11" t="s">
        <v>57</v>
      </c>
      <c r="Z48" s="11"/>
      <c r="AA48" t="s">
        <v>67</v>
      </c>
    </row>
    <row r="49" spans="1:31" s="89" customFormat="1" ht="14.5">
      <c r="A49" s="215" t="s">
        <v>343</v>
      </c>
      <c r="B49" s="216">
        <v>3</v>
      </c>
      <c r="C49" s="217">
        <v>3</v>
      </c>
      <c r="D49" s="217">
        <v>3</v>
      </c>
      <c r="E49" s="217">
        <v>6</v>
      </c>
      <c r="F49" s="217">
        <v>15</v>
      </c>
      <c r="G49" s="218"/>
      <c r="H49" s="81" t="s">
        <v>57</v>
      </c>
      <c r="I49" s="217">
        <v>30</v>
      </c>
      <c r="J49" s="217" t="s">
        <v>131</v>
      </c>
      <c r="K49" s="219">
        <f t="shared" si="4"/>
        <v>25200</v>
      </c>
      <c r="L49" s="219">
        <f t="shared" si="4"/>
        <v>63000</v>
      </c>
      <c r="M49" s="219">
        <f t="shared" si="5"/>
        <v>5250</v>
      </c>
      <c r="N49" s="220">
        <v>8309495503</v>
      </c>
      <c r="O49" s="221" t="s">
        <v>344</v>
      </c>
      <c r="P49" s="221" t="s">
        <v>345</v>
      </c>
      <c r="Q49" s="221"/>
      <c r="R49" s="221"/>
      <c r="S49" s="222" t="s">
        <v>346</v>
      </c>
      <c r="T49" s="223" t="s">
        <v>112</v>
      </c>
      <c r="U49" s="221" t="s">
        <v>112</v>
      </c>
      <c r="V49" s="221"/>
      <c r="W49" s="263"/>
      <c r="X49" s="221"/>
      <c r="Y49" s="221" t="s">
        <v>57</v>
      </c>
      <c r="Z49" s="221"/>
      <c r="AA49" s="89" t="s">
        <v>347</v>
      </c>
    </row>
    <row r="50" spans="1:31" s="89" customFormat="1" ht="14.5">
      <c r="A50" s="88" t="s">
        <v>348</v>
      </c>
      <c r="B50" s="80">
        <v>5</v>
      </c>
      <c r="C50" s="80"/>
      <c r="D50" s="80">
        <v>3</v>
      </c>
      <c r="E50" s="80">
        <v>18.5</v>
      </c>
      <c r="F50" s="80">
        <v>24.5</v>
      </c>
      <c r="G50" s="81"/>
      <c r="H50" s="81" t="s">
        <v>57</v>
      </c>
      <c r="I50" s="80">
        <v>30</v>
      </c>
      <c r="J50" s="80">
        <v>30</v>
      </c>
      <c r="K50" s="82">
        <f t="shared" si="4"/>
        <v>77700</v>
      </c>
      <c r="L50" s="82">
        <f t="shared" si="4"/>
        <v>102900</v>
      </c>
      <c r="M50" s="82">
        <f t="shared" si="5"/>
        <v>8575</v>
      </c>
      <c r="N50" s="83">
        <v>8008924354</v>
      </c>
      <c r="O50" s="88"/>
      <c r="P50" s="248" t="s">
        <v>349</v>
      </c>
      <c r="Q50" s="249" t="s">
        <v>209</v>
      </c>
      <c r="R50" s="248" t="s">
        <v>350</v>
      </c>
      <c r="S50" s="250" t="s">
        <v>351</v>
      </c>
      <c r="T50" s="251" t="s">
        <v>329</v>
      </c>
      <c r="U50" s="252" t="s">
        <v>329</v>
      </c>
      <c r="V50" s="88" t="s">
        <v>330</v>
      </c>
      <c r="W50" s="261">
        <v>8</v>
      </c>
      <c r="X50" s="88" t="s">
        <v>352</v>
      </c>
      <c r="Y50" s="88" t="s">
        <v>57</v>
      </c>
      <c r="Z50" s="88"/>
      <c r="AA50" s="89" t="s">
        <v>36</v>
      </c>
    </row>
    <row r="51" spans="1:31" s="89" customFormat="1" ht="14.5">
      <c r="A51" s="88" t="s">
        <v>353</v>
      </c>
      <c r="B51" s="80">
        <v>4.5999999999999996</v>
      </c>
      <c r="C51" s="80"/>
      <c r="D51" s="80">
        <v>4.5999999999999996</v>
      </c>
      <c r="E51" s="80">
        <v>13</v>
      </c>
      <c r="F51" s="80">
        <v>20</v>
      </c>
      <c r="G51" s="81"/>
      <c r="H51" s="81" t="s">
        <v>57</v>
      </c>
      <c r="I51" s="80" t="s">
        <v>40</v>
      </c>
      <c r="J51" s="80" t="s">
        <v>40</v>
      </c>
      <c r="K51" s="82">
        <f t="shared" si="4"/>
        <v>54600</v>
      </c>
      <c r="L51" s="82">
        <f t="shared" si="4"/>
        <v>84000</v>
      </c>
      <c r="M51" s="82">
        <f t="shared" si="5"/>
        <v>7000</v>
      </c>
      <c r="N51" s="83">
        <v>7995102003</v>
      </c>
      <c r="O51" s="84" t="s">
        <v>354</v>
      </c>
      <c r="P51" s="85" t="s">
        <v>355</v>
      </c>
      <c r="Q51" s="85"/>
      <c r="R51" s="85"/>
      <c r="S51" s="117" t="s">
        <v>265</v>
      </c>
      <c r="T51" s="87" t="s">
        <v>112</v>
      </c>
      <c r="U51" s="84" t="s">
        <v>249</v>
      </c>
      <c r="V51" s="88"/>
      <c r="W51" s="261">
        <v>23</v>
      </c>
      <c r="X51" s="88" t="s">
        <v>356</v>
      </c>
      <c r="Y51" s="88" t="s">
        <v>57</v>
      </c>
      <c r="Z51" s="88"/>
      <c r="AA51" s="89" t="s">
        <v>67</v>
      </c>
    </row>
    <row r="52" spans="1:31" s="246" customFormat="1" ht="14.5">
      <c r="A52" s="114" t="s">
        <v>357</v>
      </c>
      <c r="B52" s="244">
        <v>9</v>
      </c>
      <c r="C52" s="244">
        <v>7</v>
      </c>
      <c r="D52" s="244">
        <v>5</v>
      </c>
      <c r="E52" s="244">
        <v>28</v>
      </c>
      <c r="F52" s="244">
        <v>35</v>
      </c>
      <c r="G52" s="81"/>
      <c r="H52" s="81"/>
      <c r="I52" s="244"/>
      <c r="J52" s="244"/>
      <c r="K52" s="82">
        <f t="shared" si="4"/>
        <v>117600</v>
      </c>
      <c r="L52" s="82">
        <f t="shared" si="4"/>
        <v>147000</v>
      </c>
      <c r="M52" s="82">
        <f t="shared" si="5"/>
        <v>12250</v>
      </c>
      <c r="N52" s="245">
        <v>9092703826</v>
      </c>
      <c r="O52" s="88" t="s">
        <v>358</v>
      </c>
      <c r="P52" s="88" t="s">
        <v>359</v>
      </c>
      <c r="Q52" s="88"/>
      <c r="R52" s="88"/>
      <c r="S52" s="83" t="s">
        <v>43</v>
      </c>
      <c r="T52" s="99" t="s">
        <v>112</v>
      </c>
      <c r="U52" s="88" t="s">
        <v>265</v>
      </c>
      <c r="V52" s="88"/>
      <c r="W52" s="261"/>
      <c r="X52" s="88"/>
      <c r="Y52" s="88" t="s">
        <v>57</v>
      </c>
      <c r="Z52" s="82"/>
      <c r="AA52" s="89" t="s">
        <v>36</v>
      </c>
      <c r="AB52" s="89"/>
      <c r="AC52" s="89"/>
      <c r="AD52" s="89"/>
      <c r="AE52" s="89"/>
    </row>
    <row r="53" spans="1:31" ht="14.5">
      <c r="A53" s="147" t="s">
        <v>360</v>
      </c>
      <c r="B53" s="148">
        <v>3</v>
      </c>
      <c r="C53" s="148">
        <v>3</v>
      </c>
      <c r="D53" s="148">
        <v>3</v>
      </c>
      <c r="E53" s="148">
        <v>7.7</v>
      </c>
      <c r="F53" s="148">
        <v>15</v>
      </c>
      <c r="G53" s="150"/>
      <c r="H53" s="150" t="s">
        <v>77</v>
      </c>
      <c r="I53" s="148">
        <v>30</v>
      </c>
      <c r="J53" s="148">
        <v>30</v>
      </c>
      <c r="K53" s="153">
        <f t="shared" si="4"/>
        <v>32340</v>
      </c>
      <c r="L53" s="153">
        <f t="shared" si="4"/>
        <v>63000</v>
      </c>
      <c r="M53" s="153">
        <f t="shared" si="5"/>
        <v>5250</v>
      </c>
      <c r="N53" s="156">
        <v>7032369298</v>
      </c>
      <c r="O53" s="153" t="s">
        <v>361</v>
      </c>
      <c r="P53" s="153" t="s">
        <v>362</v>
      </c>
      <c r="Q53" s="153"/>
      <c r="R53" s="153"/>
      <c r="S53" s="156" t="s">
        <v>363</v>
      </c>
      <c r="T53" s="164" t="s">
        <v>112</v>
      </c>
      <c r="U53" s="28"/>
      <c r="V53" s="156"/>
      <c r="W53" s="157"/>
      <c r="X53" s="64"/>
      <c r="Y53" s="64" t="s">
        <v>77</v>
      </c>
      <c r="Z53" s="153"/>
      <c r="AA53" t="s">
        <v>36</v>
      </c>
    </row>
    <row r="54" spans="1:31" ht="14.5">
      <c r="A54" s="40" t="s">
        <v>364</v>
      </c>
      <c r="B54" s="40">
        <v>3</v>
      </c>
      <c r="C54" s="40">
        <v>1</v>
      </c>
      <c r="D54" s="40">
        <v>2</v>
      </c>
      <c r="E54" s="40">
        <v>15</v>
      </c>
      <c r="F54" s="40">
        <v>18</v>
      </c>
      <c r="G54" s="40"/>
      <c r="H54" s="40"/>
      <c r="I54" s="138"/>
      <c r="J54" s="138"/>
      <c r="K54" s="40"/>
      <c r="L54" s="40"/>
      <c r="M54" s="40"/>
      <c r="N54" s="40">
        <v>8309271198</v>
      </c>
      <c r="O54" s="40" t="s">
        <v>365</v>
      </c>
      <c r="P54" s="16" t="s">
        <v>366</v>
      </c>
      <c r="Q54" s="16"/>
      <c r="R54" s="16"/>
      <c r="S54" s="40" t="s">
        <v>367</v>
      </c>
      <c r="T54" s="63" t="s">
        <v>368</v>
      </c>
      <c r="U54" s="40" t="s">
        <v>64</v>
      </c>
      <c r="V54" s="11"/>
      <c r="W54" s="260"/>
      <c r="X54" s="40"/>
      <c r="Y54" s="40" t="s">
        <v>75</v>
      </c>
      <c r="Z54" s="11"/>
      <c r="AA54" t="s">
        <v>36</v>
      </c>
    </row>
    <row r="55" spans="1:31" ht="14.5">
      <c r="A55" s="40" t="s">
        <v>369</v>
      </c>
      <c r="B55" s="13">
        <v>13</v>
      </c>
      <c r="C55" s="13"/>
      <c r="D55" s="13">
        <v>5</v>
      </c>
      <c r="E55" s="13">
        <v>23</v>
      </c>
      <c r="F55" s="13">
        <v>40</v>
      </c>
      <c r="G55" s="27"/>
      <c r="H55" s="27"/>
      <c r="I55" s="13">
        <v>90</v>
      </c>
      <c r="J55" s="13">
        <v>90</v>
      </c>
      <c r="K55" s="28">
        <f>PRODUCT(E55,100,42)</f>
        <v>96600</v>
      </c>
      <c r="L55" s="28">
        <f>PRODUCT(F55,100,42)</f>
        <v>168000</v>
      </c>
      <c r="M55" s="28">
        <f>L55/12</f>
        <v>14000</v>
      </c>
      <c r="N55" s="14">
        <v>9487649829</v>
      </c>
      <c r="O55" s="11" t="s">
        <v>370</v>
      </c>
      <c r="P55" s="11" t="s">
        <v>371</v>
      </c>
      <c r="Q55" s="11"/>
      <c r="R55" s="11"/>
      <c r="S55" s="49" t="s">
        <v>135</v>
      </c>
      <c r="T55" s="60"/>
      <c r="U55" s="77" t="s">
        <v>372</v>
      </c>
      <c r="V55" s="11"/>
      <c r="W55" s="157"/>
      <c r="X55" s="11" t="s">
        <v>373</v>
      </c>
      <c r="Y55" s="11" t="s">
        <v>75</v>
      </c>
      <c r="Z55" s="11"/>
      <c r="AA55" t="s">
        <v>36</v>
      </c>
    </row>
    <row r="56" spans="1:31" ht="14.5">
      <c r="A56" s="11" t="s">
        <v>374</v>
      </c>
      <c r="B56" s="13">
        <v>3</v>
      </c>
      <c r="C56" s="13"/>
      <c r="D56" s="13">
        <v>1.5</v>
      </c>
      <c r="E56" s="13"/>
      <c r="F56" s="13"/>
      <c r="G56" s="27"/>
      <c r="H56" s="27" t="s">
        <v>325</v>
      </c>
      <c r="I56" s="27" t="s">
        <v>148</v>
      </c>
      <c r="J56" s="13" t="s">
        <v>375</v>
      </c>
      <c r="K56" s="28">
        <f>PRODUCT(E56,100,42)</f>
        <v>4200</v>
      </c>
      <c r="L56" s="28">
        <f>PRODUCT(F56,100,42)</f>
        <v>4200</v>
      </c>
      <c r="M56" s="28">
        <f>L56/12</f>
        <v>350</v>
      </c>
      <c r="N56" s="14">
        <v>9542039937</v>
      </c>
      <c r="O56" s="11" t="s">
        <v>376</v>
      </c>
      <c r="P56" s="73" t="s">
        <v>377</v>
      </c>
      <c r="Q56" s="11" t="s">
        <v>209</v>
      </c>
      <c r="R56" s="11" t="s">
        <v>378</v>
      </c>
      <c r="S56" s="14" t="s">
        <v>379</v>
      </c>
      <c r="T56" s="60" t="s">
        <v>380</v>
      </c>
      <c r="U56" s="11" t="s">
        <v>381</v>
      </c>
      <c r="V56" s="11"/>
      <c r="W56" s="157">
        <v>24</v>
      </c>
      <c r="X56" s="11" t="s">
        <v>382</v>
      </c>
      <c r="Y56" s="11" t="s">
        <v>35</v>
      </c>
      <c r="Z56" s="11"/>
      <c r="AA56" t="s">
        <v>36</v>
      </c>
    </row>
    <row r="57" spans="1:31" ht="14.5">
      <c r="A57" s="11" t="s">
        <v>383</v>
      </c>
      <c r="B57" s="13">
        <v>6</v>
      </c>
      <c r="C57" s="13">
        <v>0</v>
      </c>
      <c r="D57" s="13">
        <v>6</v>
      </c>
      <c r="E57" s="13">
        <v>20</v>
      </c>
      <c r="F57" s="13">
        <v>25</v>
      </c>
      <c r="G57" s="27"/>
      <c r="H57" s="27" t="s">
        <v>161</v>
      </c>
      <c r="I57" s="13">
        <v>90</v>
      </c>
      <c r="J57" s="13" t="s">
        <v>384</v>
      </c>
      <c r="K57" s="28"/>
      <c r="L57" s="11"/>
      <c r="M57" s="11"/>
      <c r="N57" s="11">
        <v>8148998720</v>
      </c>
      <c r="O57" s="11" t="s">
        <v>385</v>
      </c>
      <c r="P57" s="11" t="s">
        <v>386</v>
      </c>
      <c r="Q57" s="11"/>
      <c r="R57" s="11"/>
      <c r="S57" s="14" t="s">
        <v>143</v>
      </c>
      <c r="T57" s="60" t="s">
        <v>387</v>
      </c>
      <c r="U57" s="11" t="s">
        <v>388</v>
      </c>
      <c r="V57" s="11"/>
      <c r="W57" s="157" t="s">
        <v>389</v>
      </c>
      <c r="X57" s="11"/>
      <c r="Y57" s="11" t="s">
        <v>75</v>
      </c>
      <c r="AA57" t="s">
        <v>36</v>
      </c>
    </row>
    <row r="58" spans="1:31" s="89" customFormat="1" ht="14.5">
      <c r="A58" s="253" t="s">
        <v>390</v>
      </c>
      <c r="B58" s="254">
        <v>12</v>
      </c>
      <c r="C58" s="254">
        <v>9</v>
      </c>
      <c r="D58" s="80">
        <v>4</v>
      </c>
      <c r="E58" s="254">
        <v>18</v>
      </c>
      <c r="F58" s="254">
        <v>38</v>
      </c>
      <c r="G58" s="81"/>
      <c r="H58" s="81" t="s">
        <v>57</v>
      </c>
      <c r="I58" s="254">
        <v>45</v>
      </c>
      <c r="J58" s="254">
        <v>90</v>
      </c>
      <c r="K58" s="82">
        <f>PRODUCT(E58,100,42)</f>
        <v>75600</v>
      </c>
      <c r="L58" s="82">
        <f>PRODUCT(F58,100,42)</f>
        <v>159600</v>
      </c>
      <c r="M58" s="82">
        <f>L58/12</f>
        <v>13300</v>
      </c>
      <c r="N58" s="83">
        <v>6301653049</v>
      </c>
      <c r="O58" s="89" t="s">
        <v>391</v>
      </c>
      <c r="P58" s="88" t="s">
        <v>392</v>
      </c>
      <c r="Q58" s="88"/>
      <c r="R58" s="88"/>
      <c r="S58" s="83" t="s">
        <v>393</v>
      </c>
      <c r="T58" s="99" t="s">
        <v>394</v>
      </c>
      <c r="U58" s="88" t="s">
        <v>388</v>
      </c>
      <c r="V58" s="88"/>
      <c r="W58" s="261">
        <v>24</v>
      </c>
      <c r="X58" s="88" t="s">
        <v>352</v>
      </c>
      <c r="Y58" s="88" t="s">
        <v>57</v>
      </c>
      <c r="Z58" s="88"/>
      <c r="AA58" s="89" t="s">
        <v>36</v>
      </c>
    </row>
    <row r="59" spans="1:31" s="89" customFormat="1" ht="14.5">
      <c r="A59" s="88" t="s">
        <v>395</v>
      </c>
      <c r="B59" s="226">
        <v>4</v>
      </c>
      <c r="C59" s="226"/>
      <c r="D59" s="226">
        <v>4</v>
      </c>
      <c r="E59" s="226"/>
      <c r="F59" s="226"/>
      <c r="G59" s="227"/>
      <c r="H59" s="81" t="s">
        <v>57</v>
      </c>
      <c r="I59" s="80" t="s">
        <v>65</v>
      </c>
      <c r="J59" s="80" t="s">
        <v>396</v>
      </c>
      <c r="K59" s="82" t="s">
        <v>396</v>
      </c>
      <c r="L59" s="88" t="s">
        <v>300</v>
      </c>
      <c r="M59" s="88" t="s">
        <v>63</v>
      </c>
      <c r="N59" s="88">
        <v>9398389386</v>
      </c>
      <c r="O59" s="84" t="s">
        <v>397</v>
      </c>
      <c r="P59" s="88" t="s">
        <v>398</v>
      </c>
      <c r="Q59" s="88"/>
      <c r="R59" s="88"/>
      <c r="S59" s="83" t="s">
        <v>81</v>
      </c>
      <c r="T59" s="99" t="s">
        <v>165</v>
      </c>
      <c r="U59" s="88" t="s">
        <v>265</v>
      </c>
      <c r="V59" s="88"/>
      <c r="W59" s="261"/>
      <c r="X59" s="88"/>
      <c r="Y59" s="88" t="s">
        <v>57</v>
      </c>
      <c r="Z59" s="88" t="s">
        <v>44</v>
      </c>
      <c r="AA59" s="89" t="s">
        <v>67</v>
      </c>
    </row>
    <row r="60" spans="1:31" ht="14.5">
      <c r="A60" s="224" t="s">
        <v>399</v>
      </c>
      <c r="B60" s="13">
        <v>11</v>
      </c>
      <c r="C60" s="13">
        <v>11</v>
      </c>
      <c r="D60" s="13">
        <v>6</v>
      </c>
      <c r="E60" s="13">
        <v>40</v>
      </c>
      <c r="F60" s="13">
        <v>55</v>
      </c>
      <c r="G60" s="27"/>
      <c r="H60" s="150"/>
      <c r="I60" s="13">
        <v>90</v>
      </c>
      <c r="J60" s="13"/>
      <c r="K60" s="28"/>
      <c r="L60" s="11"/>
      <c r="M60" s="11"/>
      <c r="N60" s="14">
        <v>9560136459</v>
      </c>
      <c r="O60" s="16" t="s">
        <v>400</v>
      </c>
      <c r="P60" s="16" t="s">
        <v>401</v>
      </c>
      <c r="Q60" s="16"/>
      <c r="R60" s="16"/>
      <c r="S60" s="14" t="s">
        <v>402</v>
      </c>
      <c r="T60" s="60" t="s">
        <v>403</v>
      </c>
      <c r="U60" s="11" t="s">
        <v>404</v>
      </c>
      <c r="V60" s="11"/>
      <c r="W60" s="157">
        <v>8.1999999999999993</v>
      </c>
      <c r="X60" s="11" t="s">
        <v>405</v>
      </c>
      <c r="Y60" s="11" t="s">
        <v>75</v>
      </c>
      <c r="Z60" s="11"/>
      <c r="AA60" t="s">
        <v>36</v>
      </c>
    </row>
    <row r="61" spans="1:31" ht="14.5">
      <c r="A61" s="65" t="s">
        <v>406</v>
      </c>
      <c r="B61" s="40">
        <v>4</v>
      </c>
      <c r="C61" s="40"/>
      <c r="D61" s="40">
        <v>4</v>
      </c>
      <c r="E61" s="40">
        <v>5.5</v>
      </c>
      <c r="F61" s="40">
        <v>11</v>
      </c>
      <c r="G61" s="40" t="s">
        <v>39</v>
      </c>
      <c r="H61" s="228" t="s">
        <v>257</v>
      </c>
      <c r="I61" s="53">
        <v>60</v>
      </c>
      <c r="J61" s="53" t="s">
        <v>407</v>
      </c>
      <c r="K61" s="28"/>
      <c r="L61" s="11"/>
      <c r="M61" s="11"/>
      <c r="N61" s="53">
        <v>9445729703</v>
      </c>
      <c r="O61" s="209" t="s">
        <v>408</v>
      </c>
      <c r="P61" s="53" t="s">
        <v>409</v>
      </c>
      <c r="Q61" s="53"/>
      <c r="R61" s="53"/>
      <c r="S61" s="271" t="s">
        <v>88</v>
      </c>
      <c r="T61" s="271" t="s">
        <v>410</v>
      </c>
      <c r="U61" s="40" t="s">
        <v>44</v>
      </c>
      <c r="V61" s="40"/>
      <c r="W61" s="41">
        <v>8.8000000000000007</v>
      </c>
      <c r="X61" s="280" t="s">
        <v>104</v>
      </c>
      <c r="Y61" s="280" t="s">
        <v>35</v>
      </c>
      <c r="Z61" s="11"/>
      <c r="AA61" t="s">
        <v>227</v>
      </c>
      <c r="AB61" t="s">
        <v>411</v>
      </c>
    </row>
    <row r="62" spans="1:31" ht="14.5">
      <c r="A62" s="201" t="s">
        <v>412</v>
      </c>
      <c r="B62" s="13"/>
      <c r="C62" s="13"/>
      <c r="D62" s="13"/>
      <c r="E62" s="13"/>
      <c r="F62" s="13"/>
      <c r="G62" s="27"/>
      <c r="H62" s="225" t="s">
        <v>413</v>
      </c>
      <c r="I62" s="44"/>
      <c r="J62" s="44"/>
      <c r="K62" s="46"/>
      <c r="L62" s="43"/>
      <c r="M62" s="43"/>
      <c r="N62" s="47"/>
      <c r="O62" s="43"/>
      <c r="P62" s="43" t="s">
        <v>414</v>
      </c>
      <c r="Q62" s="43"/>
      <c r="R62" s="43"/>
      <c r="S62" s="47" t="s">
        <v>415</v>
      </c>
      <c r="T62" s="62"/>
      <c r="U62" s="11" t="s">
        <v>249</v>
      </c>
      <c r="V62" s="11"/>
      <c r="W62" s="264"/>
      <c r="X62" s="43"/>
      <c r="Y62" s="43" t="s">
        <v>75</v>
      </c>
      <c r="Z62" s="38"/>
      <c r="AA62" t="s">
        <v>416</v>
      </c>
    </row>
    <row r="63" spans="1:31" s="289" customFormat="1" ht="15.75" customHeight="1">
      <c r="A63" s="51" t="s">
        <v>417</v>
      </c>
      <c r="B63" s="284">
        <v>6.5</v>
      </c>
      <c r="C63" s="284">
        <v>4</v>
      </c>
      <c r="D63" s="284">
        <v>4</v>
      </c>
      <c r="E63" s="284">
        <v>33.75</v>
      </c>
      <c r="F63" s="284">
        <v>33.75</v>
      </c>
      <c r="G63" s="285"/>
      <c r="H63" s="27" t="s">
        <v>415</v>
      </c>
      <c r="I63" s="12">
        <v>30</v>
      </c>
      <c r="J63" s="12">
        <v>30</v>
      </c>
      <c r="K63" s="28">
        <f>PRODUCT(E63,100,42)</f>
        <v>141750</v>
      </c>
      <c r="L63" s="28">
        <f>PRODUCT(F63,100,42)</f>
        <v>141750</v>
      </c>
      <c r="M63" s="28">
        <f>L63/12</f>
        <v>11812.5</v>
      </c>
      <c r="N63" s="155">
        <v>8333848348</v>
      </c>
      <c r="O63" s="286" t="s">
        <v>418</v>
      </c>
      <c r="P63" s="286" t="s">
        <v>419</v>
      </c>
      <c r="Q63" s="286"/>
      <c r="R63" s="286"/>
      <c r="S63" s="287" t="s">
        <v>420</v>
      </c>
      <c r="T63" s="177" t="s">
        <v>415</v>
      </c>
      <c r="U63" s="286" t="s">
        <v>44</v>
      </c>
      <c r="V63" s="11" t="s">
        <v>330</v>
      </c>
      <c r="W63" s="157">
        <v>24</v>
      </c>
      <c r="X63" s="11" t="s">
        <v>421</v>
      </c>
      <c r="Y63" s="11" t="s">
        <v>35</v>
      </c>
      <c r="Z63" s="288" t="s">
        <v>422</v>
      </c>
      <c r="AA63" t="s">
        <v>36</v>
      </c>
      <c r="AB63"/>
      <c r="AC63"/>
      <c r="AD63"/>
      <c r="AE63"/>
    </row>
    <row r="64" spans="1:31" ht="14.5">
      <c r="A64" s="40" t="s">
        <v>423</v>
      </c>
      <c r="B64" s="40">
        <v>4</v>
      </c>
      <c r="C64" s="40"/>
      <c r="D64" s="40">
        <v>4</v>
      </c>
      <c r="E64" s="40">
        <v>12</v>
      </c>
      <c r="F64" s="40">
        <v>19</v>
      </c>
      <c r="G64" s="40"/>
      <c r="H64" s="40"/>
      <c r="I64" s="40">
        <v>90</v>
      </c>
      <c r="J64" s="40">
        <v>90</v>
      </c>
      <c r="K64" s="40"/>
      <c r="L64" s="40"/>
      <c r="M64" s="40"/>
      <c r="N64" s="40">
        <v>8688261561</v>
      </c>
      <c r="O64" s="40" t="s">
        <v>424</v>
      </c>
      <c r="P64" s="16" t="s">
        <v>425</v>
      </c>
      <c r="Q64" s="16"/>
      <c r="R64" s="16"/>
      <c r="S64" s="41" t="s">
        <v>312</v>
      </c>
      <c r="T64" s="63" t="s">
        <v>165</v>
      </c>
      <c r="U64" s="40" t="s">
        <v>249</v>
      </c>
      <c r="V64" s="11"/>
      <c r="W64" s="260">
        <v>24</v>
      </c>
      <c r="X64" s="40" t="s">
        <v>426</v>
      </c>
      <c r="Y64" s="40" t="s">
        <v>75</v>
      </c>
      <c r="Z64" s="40" t="s">
        <v>373</v>
      </c>
      <c r="AA64" t="s">
        <v>36</v>
      </c>
    </row>
    <row r="65" spans="1:31" ht="14.5">
      <c r="A65" s="28" t="s">
        <v>427</v>
      </c>
      <c r="B65" s="12">
        <v>14</v>
      </c>
      <c r="C65" s="12">
        <v>4</v>
      </c>
      <c r="D65" s="12">
        <v>4</v>
      </c>
      <c r="E65" s="12">
        <v>25</v>
      </c>
      <c r="F65" s="12">
        <v>38</v>
      </c>
      <c r="G65" s="27"/>
      <c r="H65" s="27"/>
      <c r="I65" s="12" t="s">
        <v>40</v>
      </c>
      <c r="J65" s="12" t="s">
        <v>40</v>
      </c>
      <c r="K65" s="28">
        <f>PRODUCT(E65,100,42)</f>
        <v>105000</v>
      </c>
      <c r="L65" s="28">
        <f>PRODUCT(F65,100,42)</f>
        <v>159600</v>
      </c>
      <c r="M65" s="28">
        <f>L65/12</f>
        <v>13300</v>
      </c>
      <c r="N65" s="155">
        <v>7411502158</v>
      </c>
      <c r="O65" s="28" t="s">
        <v>428</v>
      </c>
      <c r="P65" s="28" t="s">
        <v>429</v>
      </c>
      <c r="Q65" s="28"/>
      <c r="R65" s="28"/>
      <c r="S65" s="155" t="s">
        <v>430</v>
      </c>
      <c r="T65" s="207" t="s">
        <v>112</v>
      </c>
      <c r="U65" s="28" t="s">
        <v>431</v>
      </c>
      <c r="V65" s="11"/>
      <c r="W65" s="157" t="s">
        <v>63</v>
      </c>
      <c r="X65" s="11" t="s">
        <v>63</v>
      </c>
      <c r="Y65" s="11" t="s">
        <v>77</v>
      </c>
      <c r="Z65" s="46" t="s">
        <v>432</v>
      </c>
      <c r="AA65" t="s">
        <v>36</v>
      </c>
    </row>
    <row r="66" spans="1:31" ht="14.5">
      <c r="A66" s="43" t="s">
        <v>433</v>
      </c>
      <c r="B66" s="44">
        <v>5</v>
      </c>
      <c r="C66" s="44"/>
      <c r="D66" s="44">
        <v>5</v>
      </c>
      <c r="E66" s="44">
        <v>29</v>
      </c>
      <c r="F66" s="44" t="s">
        <v>38</v>
      </c>
      <c r="G66" s="48"/>
      <c r="H66" s="48"/>
      <c r="I66" s="44">
        <v>90</v>
      </c>
      <c r="J66" s="44">
        <v>90</v>
      </c>
      <c r="K66" s="43"/>
      <c r="L66" s="43"/>
      <c r="M66" s="43"/>
      <c r="N66" s="47">
        <v>7979846590</v>
      </c>
      <c r="O66" s="55" t="s">
        <v>434</v>
      </c>
      <c r="P66" s="55" t="s">
        <v>435</v>
      </c>
      <c r="Q66" s="55"/>
      <c r="R66" s="55"/>
      <c r="S66" s="47" t="s">
        <v>231</v>
      </c>
      <c r="T66" s="62" t="s">
        <v>436</v>
      </c>
      <c r="U66" s="11" t="s">
        <v>186</v>
      </c>
      <c r="V66" s="11"/>
      <c r="W66" s="264" t="s">
        <v>437</v>
      </c>
      <c r="X66" s="43"/>
      <c r="Y66" s="43" t="s">
        <v>55</v>
      </c>
      <c r="Z66" s="11"/>
      <c r="AA66" t="s">
        <v>438</v>
      </c>
    </row>
    <row r="67" spans="1:31" s="127" customFormat="1" ht="14.5">
      <c r="A67" s="121" t="s">
        <v>439</v>
      </c>
      <c r="B67" s="122">
        <v>3</v>
      </c>
      <c r="C67" s="122"/>
      <c r="D67" s="122">
        <v>2.5</v>
      </c>
      <c r="E67" s="122"/>
      <c r="F67" s="121"/>
      <c r="G67" s="123"/>
      <c r="H67" s="123"/>
      <c r="I67" s="122">
        <v>45</v>
      </c>
      <c r="J67" s="122">
        <v>45</v>
      </c>
      <c r="K67" s="121"/>
      <c r="L67" s="121"/>
      <c r="M67" s="121"/>
      <c r="N67" s="124">
        <v>7780373369</v>
      </c>
      <c r="O67" s="125" t="s">
        <v>440</v>
      </c>
      <c r="P67" s="125" t="s">
        <v>441</v>
      </c>
      <c r="Q67" s="125"/>
      <c r="R67" s="125"/>
      <c r="S67" s="124" t="s">
        <v>43</v>
      </c>
      <c r="T67" s="126" t="s">
        <v>442</v>
      </c>
      <c r="U67" s="121" t="s">
        <v>186</v>
      </c>
      <c r="V67" s="121"/>
      <c r="W67" s="257">
        <v>23</v>
      </c>
      <c r="X67" s="121"/>
      <c r="Y67" s="121" t="s">
        <v>75</v>
      </c>
      <c r="Z67" s="282"/>
      <c r="AA67" s="127" t="s">
        <v>36</v>
      </c>
    </row>
    <row r="68" spans="1:31" ht="14.5">
      <c r="A68" s="43" t="s">
        <v>443</v>
      </c>
      <c r="B68" s="44">
        <v>4.5</v>
      </c>
      <c r="C68" s="44"/>
      <c r="D68" s="44">
        <v>3.5</v>
      </c>
      <c r="E68" s="44">
        <v>18</v>
      </c>
      <c r="F68" s="43">
        <v>24</v>
      </c>
      <c r="G68" s="48"/>
      <c r="H68" s="48" t="s">
        <v>413</v>
      </c>
      <c r="I68" s="44">
        <v>60</v>
      </c>
      <c r="J68" s="44">
        <v>60</v>
      </c>
      <c r="K68" s="43"/>
      <c r="L68" s="43"/>
      <c r="M68" s="43"/>
      <c r="N68" s="47">
        <v>9405123250</v>
      </c>
      <c r="O68" s="56" t="s">
        <v>444</v>
      </c>
      <c r="P68" s="56" t="s">
        <v>445</v>
      </c>
      <c r="Q68" s="56"/>
      <c r="R68" s="56"/>
      <c r="S68" s="47" t="s">
        <v>446</v>
      </c>
      <c r="T68" s="62" t="s">
        <v>415</v>
      </c>
      <c r="U68" s="11" t="s">
        <v>44</v>
      </c>
      <c r="V68" s="11"/>
      <c r="W68" s="264">
        <v>24</v>
      </c>
      <c r="X68" s="43"/>
      <c r="Y68" s="43" t="s">
        <v>55</v>
      </c>
      <c r="Z68" s="11"/>
      <c r="AA68" t="s">
        <v>36</v>
      </c>
    </row>
    <row r="69" spans="1:31" s="127" customFormat="1" ht="14.5">
      <c r="A69" s="11" t="s">
        <v>447</v>
      </c>
      <c r="B69" s="13">
        <v>14</v>
      </c>
      <c r="C69" s="13">
        <v>11</v>
      </c>
      <c r="D69" s="13">
        <v>1.5</v>
      </c>
      <c r="E69" s="13">
        <v>19</v>
      </c>
      <c r="F69" s="13" t="s">
        <v>38</v>
      </c>
      <c r="G69" s="27"/>
      <c r="H69" s="27"/>
      <c r="I69" s="13">
        <v>45</v>
      </c>
      <c r="J69" s="13" t="s">
        <v>448</v>
      </c>
      <c r="K69" s="28">
        <f t="shared" ref="K69:L71" si="6">PRODUCT(E69,100,42)</f>
        <v>79800</v>
      </c>
      <c r="L69" s="28">
        <f t="shared" si="6"/>
        <v>4200</v>
      </c>
      <c r="M69" s="28">
        <f>L69/12</f>
        <v>350</v>
      </c>
      <c r="N69" t="s">
        <v>449</v>
      </c>
      <c r="O69" s="16" t="s">
        <v>450</v>
      </c>
      <c r="P69" s="11" t="s">
        <v>451</v>
      </c>
      <c r="Q69" s="11"/>
      <c r="R69" s="11"/>
      <c r="S69" s="14" t="s">
        <v>452</v>
      </c>
      <c r="T69" s="14" t="s">
        <v>165</v>
      </c>
      <c r="U69" s="11" t="s">
        <v>249</v>
      </c>
      <c r="V69" s="11"/>
      <c r="W69" s="157">
        <v>23</v>
      </c>
      <c r="X69" s="11" t="s">
        <v>244</v>
      </c>
      <c r="Y69" s="11" t="s">
        <v>75</v>
      </c>
      <c r="Z69" s="11"/>
      <c r="AA69" t="s">
        <v>36</v>
      </c>
      <c r="AB69"/>
      <c r="AC69"/>
      <c r="AD69"/>
      <c r="AE69"/>
    </row>
    <row r="70" spans="1:31" ht="22.5" customHeight="1">
      <c r="A70" s="11" t="s">
        <v>453</v>
      </c>
      <c r="B70" s="13">
        <v>7</v>
      </c>
      <c r="C70" s="13">
        <v>7</v>
      </c>
      <c r="D70" s="13">
        <v>2</v>
      </c>
      <c r="E70" s="13">
        <v>18.5</v>
      </c>
      <c r="F70" s="13">
        <v>30</v>
      </c>
      <c r="G70" s="27"/>
      <c r="H70" s="27"/>
      <c r="I70" s="13">
        <v>30</v>
      </c>
      <c r="J70" s="13" t="s">
        <v>454</v>
      </c>
      <c r="K70" s="28">
        <f t="shared" si="6"/>
        <v>77700</v>
      </c>
      <c r="L70" s="28">
        <f t="shared" si="6"/>
        <v>126000</v>
      </c>
      <c r="M70" s="28">
        <f>L70/12</f>
        <v>10500</v>
      </c>
      <c r="N70" s="158">
        <v>9965357607</v>
      </c>
      <c r="O70" s="58" t="s">
        <v>455</v>
      </c>
      <c r="P70" s="16" t="s">
        <v>456</v>
      </c>
      <c r="Q70" s="16"/>
      <c r="R70" s="16"/>
      <c r="S70" s="162" t="s">
        <v>88</v>
      </c>
      <c r="T70" s="162" t="s">
        <v>436</v>
      </c>
      <c r="U70" s="58" t="s">
        <v>249</v>
      </c>
      <c r="V70" s="11"/>
      <c r="W70" s="157"/>
      <c r="X70" s="11"/>
      <c r="Y70" s="11" t="s">
        <v>75</v>
      </c>
      <c r="Z70" s="11"/>
      <c r="AA70" t="s">
        <v>36</v>
      </c>
    </row>
    <row r="71" spans="1:31" ht="14.5">
      <c r="A71" s="11" t="s">
        <v>457</v>
      </c>
      <c r="B71" s="13">
        <v>3.6</v>
      </c>
      <c r="C71" s="13">
        <v>3.6</v>
      </c>
      <c r="D71" s="13">
        <v>1</v>
      </c>
      <c r="E71" s="13">
        <v>4.75</v>
      </c>
      <c r="F71" s="13">
        <v>11</v>
      </c>
      <c r="G71" s="27"/>
      <c r="H71" s="27"/>
      <c r="I71" s="13">
        <v>30</v>
      </c>
      <c r="J71" s="13" t="s">
        <v>131</v>
      </c>
      <c r="K71" s="28">
        <f t="shared" si="6"/>
        <v>19950</v>
      </c>
      <c r="L71" s="28">
        <f t="shared" si="6"/>
        <v>46200</v>
      </c>
      <c r="M71" s="28">
        <f>L71/12</f>
        <v>3850</v>
      </c>
      <c r="N71" s="14">
        <v>6303552882</v>
      </c>
      <c r="O71" s="11" t="s">
        <v>458</v>
      </c>
      <c r="P71" s="11" t="s">
        <v>459</v>
      </c>
      <c r="Q71" s="11"/>
      <c r="R71" s="11"/>
      <c r="S71" s="15" t="s">
        <v>452</v>
      </c>
      <c r="T71" s="60" t="s">
        <v>436</v>
      </c>
      <c r="U71" s="11" t="s">
        <v>249</v>
      </c>
      <c r="V71" s="11"/>
      <c r="W71" s="157"/>
      <c r="X71" s="11" t="s">
        <v>212</v>
      </c>
      <c r="Y71" s="11" t="s">
        <v>75</v>
      </c>
      <c r="Z71" s="11"/>
      <c r="AA71" t="s">
        <v>36</v>
      </c>
    </row>
    <row r="72" spans="1:31" s="127" customFormat="1" ht="14.5">
      <c r="A72" s="11" t="s">
        <v>460</v>
      </c>
      <c r="B72" s="13">
        <v>8</v>
      </c>
      <c r="C72" s="13">
        <v>6</v>
      </c>
      <c r="D72" s="13">
        <v>2</v>
      </c>
      <c r="E72" s="13"/>
      <c r="F72" s="11"/>
      <c r="G72" s="42"/>
      <c r="H72" s="42"/>
      <c r="I72" s="13"/>
      <c r="J72" s="13"/>
      <c r="K72" s="11"/>
      <c r="L72" s="11"/>
      <c r="M72" s="11"/>
      <c r="N72" s="39" t="s">
        <v>461</v>
      </c>
      <c r="O72" s="16" t="s">
        <v>462</v>
      </c>
      <c r="P72" s="11"/>
      <c r="Q72" s="11"/>
      <c r="R72" s="11"/>
      <c r="S72" s="14" t="s">
        <v>463</v>
      </c>
      <c r="T72" s="60"/>
      <c r="U72" s="11"/>
      <c r="V72" s="11"/>
      <c r="W72" s="157"/>
      <c r="X72" s="11"/>
      <c r="Y72" s="11" t="s">
        <v>75</v>
      </c>
      <c r="Z72" s="11"/>
      <c r="AA72" t="s">
        <v>36</v>
      </c>
      <c r="AB72"/>
      <c r="AC72"/>
      <c r="AD72"/>
      <c r="AE72"/>
    </row>
    <row r="73" spans="1:31" ht="19.5" customHeight="1">
      <c r="A73" s="11" t="s">
        <v>464</v>
      </c>
      <c r="B73" s="13">
        <v>5</v>
      </c>
      <c r="C73" s="13"/>
      <c r="D73" s="13">
        <v>4</v>
      </c>
      <c r="E73" s="13">
        <v>8.5</v>
      </c>
      <c r="F73" s="13" t="s">
        <v>38</v>
      </c>
      <c r="G73" s="42"/>
      <c r="H73" s="42"/>
      <c r="I73" s="13">
        <v>60</v>
      </c>
      <c r="J73" s="13" t="s">
        <v>465</v>
      </c>
      <c r="K73" s="11"/>
      <c r="L73" s="11"/>
      <c r="M73" s="11"/>
      <c r="N73" s="118">
        <v>8329819384</v>
      </c>
      <c r="O73" s="16" t="s">
        <v>466</v>
      </c>
      <c r="P73" s="16" t="s">
        <v>467</v>
      </c>
      <c r="Q73" s="16"/>
      <c r="R73" s="16"/>
      <c r="S73" s="14" t="s">
        <v>468</v>
      </c>
      <c r="T73" s="60" t="s">
        <v>469</v>
      </c>
      <c r="U73" s="11" t="s">
        <v>470</v>
      </c>
      <c r="V73" s="11"/>
      <c r="W73" s="264">
        <v>8.5</v>
      </c>
      <c r="X73" s="11" t="s">
        <v>471</v>
      </c>
      <c r="Y73" s="11" t="s">
        <v>75</v>
      </c>
      <c r="Z73" s="43"/>
      <c r="AA73" t="s">
        <v>36</v>
      </c>
    </row>
    <row r="74" spans="1:31" ht="14.5">
      <c r="A74" s="43" t="s">
        <v>472</v>
      </c>
      <c r="B74" s="44">
        <v>5</v>
      </c>
      <c r="C74" s="44"/>
      <c r="D74" s="44">
        <v>5</v>
      </c>
      <c r="E74" s="44">
        <v>14</v>
      </c>
      <c r="F74" s="44" t="s">
        <v>38</v>
      </c>
      <c r="G74" s="45"/>
      <c r="H74" s="45"/>
      <c r="I74" s="44">
        <v>60</v>
      </c>
      <c r="J74" s="44">
        <v>60</v>
      </c>
      <c r="K74" s="46">
        <f>PRODUCT(E74,100,42)</f>
        <v>58800</v>
      </c>
      <c r="L74" s="46">
        <f>PRODUCT(F74,100,42)</f>
        <v>4200</v>
      </c>
      <c r="M74" s="46">
        <f>L74/12</f>
        <v>350</v>
      </c>
      <c r="N74" s="47"/>
      <c r="O74" s="43"/>
      <c r="P74" s="43" t="s">
        <v>473</v>
      </c>
      <c r="Q74" s="43" t="s">
        <v>209</v>
      </c>
      <c r="R74" s="43" t="s">
        <v>209</v>
      </c>
      <c r="S74" s="47" t="s">
        <v>165</v>
      </c>
      <c r="T74" s="62" t="s">
        <v>474</v>
      </c>
      <c r="U74" s="11" t="s">
        <v>249</v>
      </c>
      <c r="V74" s="11"/>
      <c r="W74" s="264">
        <v>8.6999999999999993</v>
      </c>
      <c r="X74" s="43" t="s">
        <v>261</v>
      </c>
      <c r="Y74" s="43" t="s">
        <v>75</v>
      </c>
      <c r="Z74" s="11"/>
      <c r="AA74" t="s">
        <v>36</v>
      </c>
    </row>
    <row r="75" spans="1:31" ht="16.5" customHeight="1">
      <c r="A75" s="11" t="s">
        <v>475</v>
      </c>
      <c r="B75" s="13">
        <v>2</v>
      </c>
      <c r="C75" s="13"/>
      <c r="D75" s="13">
        <v>2</v>
      </c>
      <c r="E75" s="13">
        <v>4.2</v>
      </c>
      <c r="F75" s="13">
        <v>8</v>
      </c>
      <c r="G75" s="42"/>
      <c r="H75" s="42"/>
      <c r="I75" s="13">
        <v>90</v>
      </c>
      <c r="J75" s="13">
        <v>90</v>
      </c>
      <c r="K75" s="11"/>
      <c r="L75" s="11"/>
      <c r="M75" s="11"/>
      <c r="N75" s="14">
        <v>9440066693</v>
      </c>
      <c r="O75" s="16" t="s">
        <v>476</v>
      </c>
      <c r="P75" s="16" t="s">
        <v>477</v>
      </c>
      <c r="Q75" s="16"/>
      <c r="R75" s="16"/>
      <c r="S75" s="14" t="s">
        <v>88</v>
      </c>
      <c r="T75" s="60" t="s">
        <v>436</v>
      </c>
      <c r="U75" s="11" t="s">
        <v>249</v>
      </c>
      <c r="V75" s="11"/>
      <c r="W75" s="157">
        <v>24</v>
      </c>
      <c r="X75" s="11" t="s">
        <v>478</v>
      </c>
      <c r="Y75" s="11" t="s">
        <v>75</v>
      </c>
      <c r="Z75" s="11"/>
      <c r="AA75" t="s">
        <v>36</v>
      </c>
    </row>
    <row r="76" spans="1:31" s="235" customFormat="1" ht="21.75" customHeight="1">
      <c r="A76" s="236" t="s">
        <v>479</v>
      </c>
      <c r="B76" s="237">
        <v>4.5</v>
      </c>
      <c r="C76" s="237"/>
      <c r="D76" s="237">
        <v>4</v>
      </c>
      <c r="E76" s="237">
        <v>9.5</v>
      </c>
      <c r="F76" s="237">
        <v>17</v>
      </c>
      <c r="G76" s="238"/>
      <c r="H76" s="238" t="s">
        <v>57</v>
      </c>
      <c r="I76" s="237">
        <v>30</v>
      </c>
      <c r="J76" s="237" t="s">
        <v>84</v>
      </c>
      <c r="K76" s="236"/>
      <c r="L76" s="236"/>
      <c r="M76" s="236"/>
      <c r="N76" s="239">
        <v>6302651027</v>
      </c>
      <c r="O76" s="240" t="s">
        <v>480</v>
      </c>
      <c r="P76" s="240" t="s">
        <v>481</v>
      </c>
      <c r="Q76" s="240"/>
      <c r="R76" s="240"/>
      <c r="S76" s="239" t="s">
        <v>482</v>
      </c>
      <c r="T76" s="241" t="s">
        <v>483</v>
      </c>
      <c r="U76" s="236"/>
      <c r="V76" s="236"/>
      <c r="W76" s="265">
        <v>8.8000000000000007</v>
      </c>
      <c r="X76" s="236" t="s">
        <v>63</v>
      </c>
      <c r="Y76" s="236" t="s">
        <v>75</v>
      </c>
      <c r="Z76" s="242"/>
      <c r="AA76" s="243" t="s">
        <v>36</v>
      </c>
      <c r="AB76" s="243"/>
      <c r="AC76" s="243"/>
      <c r="AD76" s="243"/>
      <c r="AE76" s="243"/>
    </row>
    <row r="77" spans="1:31" s="136" customFormat="1" ht="14.5">
      <c r="A77" s="130" t="s">
        <v>484</v>
      </c>
      <c r="B77" s="214">
        <v>4.0999999999999996</v>
      </c>
      <c r="C77" s="131"/>
      <c r="D77" s="214">
        <v>4.0999999999999996</v>
      </c>
      <c r="E77" s="131">
        <v>15</v>
      </c>
      <c r="F77" s="131">
        <v>23</v>
      </c>
      <c r="G77" s="132"/>
      <c r="H77" s="132" t="s">
        <v>119</v>
      </c>
      <c r="I77" s="131">
        <v>60</v>
      </c>
      <c r="J77" s="131" t="s">
        <v>84</v>
      </c>
      <c r="K77" s="130"/>
      <c r="L77" s="130"/>
      <c r="M77" s="130"/>
      <c r="N77" s="133">
        <v>9182470859</v>
      </c>
      <c r="O77" s="134" t="s">
        <v>485</v>
      </c>
      <c r="P77" s="134" t="s">
        <v>486</v>
      </c>
      <c r="Q77" s="134"/>
      <c r="R77" s="134"/>
      <c r="S77" s="133" t="s">
        <v>487</v>
      </c>
      <c r="T77" s="135" t="s">
        <v>488</v>
      </c>
      <c r="U77" s="130" t="s">
        <v>44</v>
      </c>
      <c r="V77" s="130"/>
      <c r="W77" s="255">
        <v>8.6</v>
      </c>
      <c r="X77" s="130" t="s">
        <v>218</v>
      </c>
      <c r="Y77" s="130" t="s">
        <v>55</v>
      </c>
      <c r="Z77" s="130"/>
      <c r="AA77" s="136" t="s">
        <v>438</v>
      </c>
    </row>
    <row r="78" spans="1:31" s="127" customFormat="1" ht="30" customHeight="1">
      <c r="A78" s="127" t="s">
        <v>489</v>
      </c>
      <c r="B78" s="122">
        <v>8</v>
      </c>
      <c r="C78" s="122">
        <v>6</v>
      </c>
      <c r="D78" s="273">
        <v>4</v>
      </c>
      <c r="E78" s="122" t="s">
        <v>490</v>
      </c>
      <c r="F78" s="122" t="s">
        <v>491</v>
      </c>
      <c r="G78" s="211"/>
      <c r="H78" s="211"/>
      <c r="I78" s="122" t="s">
        <v>40</v>
      </c>
      <c r="J78" s="122" t="s">
        <v>40</v>
      </c>
      <c r="K78" s="212">
        <f>PRODUCT(E78,100,42)</f>
        <v>4200</v>
      </c>
      <c r="L78" s="212">
        <f>PRODUCT(F78,100,42)</f>
        <v>4200</v>
      </c>
      <c r="M78" s="212">
        <f>L78/12</f>
        <v>350</v>
      </c>
      <c r="N78" s="124"/>
      <c r="O78" s="121"/>
      <c r="P78" s="121"/>
      <c r="Q78" s="121"/>
      <c r="R78" s="121"/>
      <c r="S78" s="124"/>
      <c r="T78" s="126"/>
      <c r="U78" s="121"/>
      <c r="V78" s="121"/>
      <c r="W78" s="257"/>
      <c r="X78" s="121"/>
      <c r="Y78" s="121" t="s">
        <v>75</v>
      </c>
      <c r="Z78" s="121"/>
      <c r="AA78" s="127" t="s">
        <v>36</v>
      </c>
      <c r="AB78" s="127" t="s">
        <v>492</v>
      </c>
    </row>
    <row r="79" spans="1:31" s="136" customFormat="1" ht="14.5">
      <c r="A79" s="130" t="s">
        <v>493</v>
      </c>
      <c r="B79" s="131">
        <v>3.9</v>
      </c>
      <c r="C79" s="131"/>
      <c r="D79" s="131">
        <v>3.2</v>
      </c>
      <c r="E79" s="131">
        <v>7</v>
      </c>
      <c r="F79" s="131">
        <v>14</v>
      </c>
      <c r="G79" s="141"/>
      <c r="H79" s="141" t="s">
        <v>494</v>
      </c>
      <c r="I79" s="131">
        <v>15</v>
      </c>
      <c r="J79" s="131">
        <v>15</v>
      </c>
      <c r="K79" s="142">
        <f>PRODUCT(E79,100,42)</f>
        <v>29400</v>
      </c>
      <c r="L79" s="142">
        <f>PRODUCT(F79,100,42)</f>
        <v>58800</v>
      </c>
      <c r="M79" s="142">
        <f>L79/12</f>
        <v>4900</v>
      </c>
      <c r="N79" s="133">
        <v>9529291158</v>
      </c>
      <c r="O79" s="134" t="s">
        <v>495</v>
      </c>
      <c r="P79" s="258" t="s">
        <v>496</v>
      </c>
      <c r="Q79" s="258"/>
      <c r="R79" s="258"/>
      <c r="S79" s="333" t="s">
        <v>497</v>
      </c>
      <c r="T79" s="294" t="s">
        <v>231</v>
      </c>
      <c r="U79" s="134" t="s">
        <v>186</v>
      </c>
      <c r="V79" s="130"/>
      <c r="W79" s="255">
        <v>8</v>
      </c>
      <c r="X79" s="130" t="s">
        <v>187</v>
      </c>
      <c r="Y79" s="130" t="s">
        <v>75</v>
      </c>
      <c r="Z79" s="130"/>
      <c r="AA79" s="136" t="s">
        <v>36</v>
      </c>
    </row>
    <row r="80" spans="1:31" s="136" customFormat="1" ht="19.5" customHeight="1">
      <c r="A80" s="130" t="s">
        <v>498</v>
      </c>
      <c r="B80" s="131">
        <v>4</v>
      </c>
      <c r="C80" s="131"/>
      <c r="D80" s="131">
        <v>4</v>
      </c>
      <c r="E80" s="131">
        <v>23</v>
      </c>
      <c r="F80" s="213">
        <v>32</v>
      </c>
      <c r="G80" s="132"/>
      <c r="H80" s="132" t="s">
        <v>499</v>
      </c>
      <c r="I80" s="131">
        <v>60</v>
      </c>
      <c r="J80" s="131" t="s">
        <v>384</v>
      </c>
      <c r="K80" s="130"/>
      <c r="L80" s="130"/>
      <c r="M80" s="130"/>
      <c r="N80" s="133">
        <v>7008925953</v>
      </c>
      <c r="O80" s="134" t="s">
        <v>500</v>
      </c>
      <c r="P80" s="134" t="s">
        <v>501</v>
      </c>
      <c r="Q80" s="134"/>
      <c r="R80" s="134"/>
      <c r="S80" s="133" t="s">
        <v>502</v>
      </c>
      <c r="T80" s="135" t="s">
        <v>329</v>
      </c>
      <c r="U80" s="130" t="s">
        <v>44</v>
      </c>
      <c r="V80" s="130" t="s">
        <v>96</v>
      </c>
      <c r="W80" s="255">
        <v>8.6999999999999993</v>
      </c>
      <c r="X80" s="130" t="s">
        <v>54</v>
      </c>
      <c r="Y80" s="130" t="s">
        <v>55</v>
      </c>
      <c r="Z80" s="130"/>
      <c r="AA80" s="136" t="s">
        <v>438</v>
      </c>
    </row>
    <row r="81" spans="1:31" s="97" customFormat="1" ht="14.5">
      <c r="A81" s="11" t="s">
        <v>503</v>
      </c>
      <c r="B81" s="13">
        <v>6.5</v>
      </c>
      <c r="C81" s="13"/>
      <c r="D81" s="13">
        <v>6.5</v>
      </c>
      <c r="E81" s="13">
        <v>22</v>
      </c>
      <c r="F81" s="13">
        <v>30</v>
      </c>
      <c r="G81" s="27"/>
      <c r="H81" s="27" t="s">
        <v>504</v>
      </c>
      <c r="I81" s="128" t="s">
        <v>40</v>
      </c>
      <c r="J81" s="128">
        <v>46091</v>
      </c>
      <c r="K81" s="28">
        <f>PRODUCT(E81,100,42)</f>
        <v>92400</v>
      </c>
      <c r="L81" s="28">
        <f>PRODUCT(F81,100,42)</f>
        <v>126000</v>
      </c>
      <c r="M81" s="28">
        <f>L81/12</f>
        <v>10500</v>
      </c>
      <c r="N81" s="14">
        <v>9133461639</v>
      </c>
      <c r="O81" s="73" t="s">
        <v>505</v>
      </c>
      <c r="P81" s="74" t="s">
        <v>506</v>
      </c>
      <c r="Q81" s="74"/>
      <c r="R81" s="74"/>
      <c r="S81" s="129"/>
      <c r="T81" s="76" t="s">
        <v>507</v>
      </c>
      <c r="U81" s="73" t="s">
        <v>508</v>
      </c>
      <c r="V81" s="11"/>
      <c r="W81" s="157"/>
      <c r="X81" s="11" t="s">
        <v>112</v>
      </c>
      <c r="Y81" s="11" t="s">
        <v>77</v>
      </c>
      <c r="Z81" s="11"/>
      <c r="AA81" t="s">
        <v>36</v>
      </c>
      <c r="AB81"/>
      <c r="AC81"/>
      <c r="AD81"/>
      <c r="AE81"/>
    </row>
    <row r="82" spans="1:31" ht="14.5">
      <c r="A82" s="96" t="s">
        <v>509</v>
      </c>
      <c r="B82" s="13">
        <v>18</v>
      </c>
      <c r="C82" s="13"/>
      <c r="D82" s="13"/>
      <c r="E82" s="13"/>
      <c r="F82" s="13"/>
      <c r="G82" s="27"/>
      <c r="H82" s="27"/>
      <c r="I82" s="13"/>
      <c r="J82" s="13"/>
      <c r="K82" s="28"/>
      <c r="L82" s="11"/>
      <c r="M82" s="11"/>
      <c r="N82" s="14"/>
      <c r="O82" s="11"/>
      <c r="P82" s="11"/>
      <c r="Q82" s="11"/>
      <c r="R82" s="11"/>
      <c r="S82" s="14"/>
      <c r="T82" s="60"/>
      <c r="U82" s="11"/>
      <c r="V82" s="11"/>
      <c r="W82" s="157"/>
      <c r="X82" s="11"/>
      <c r="Y82" s="11" t="s">
        <v>75</v>
      </c>
      <c r="Z82" s="11" t="s">
        <v>510</v>
      </c>
      <c r="AA82" t="s">
        <v>36</v>
      </c>
    </row>
    <row r="83" spans="1:31" ht="27" customHeight="1">
      <c r="A83" s="51" t="s">
        <v>511</v>
      </c>
      <c r="B83" s="13">
        <v>4</v>
      </c>
      <c r="C83" s="13"/>
      <c r="D83" s="13">
        <v>4</v>
      </c>
      <c r="E83" s="13">
        <v>19</v>
      </c>
      <c r="F83" s="13"/>
      <c r="G83" s="42"/>
      <c r="H83" s="42"/>
      <c r="I83" s="13">
        <v>45</v>
      </c>
      <c r="J83" s="13">
        <v>45</v>
      </c>
      <c r="K83" s="11"/>
      <c r="L83" s="11"/>
      <c r="M83" s="11"/>
      <c r="N83" s="276">
        <v>7095521683</v>
      </c>
      <c r="O83" s="270" t="s">
        <v>512</v>
      </c>
      <c r="P83" s="16" t="s">
        <v>513</v>
      </c>
      <c r="Q83" s="276" t="s">
        <v>208</v>
      </c>
      <c r="R83" s="11"/>
      <c r="S83" s="276" t="s">
        <v>514</v>
      </c>
      <c r="T83" s="60"/>
      <c r="U83" s="11" t="s">
        <v>202</v>
      </c>
      <c r="V83" s="11"/>
      <c r="W83" s="157"/>
      <c r="X83" s="11" t="s">
        <v>515</v>
      </c>
      <c r="Y83" s="11" t="s">
        <v>75</v>
      </c>
      <c r="AA83" t="s">
        <v>438</v>
      </c>
    </row>
    <row r="84" spans="1:31" s="89" customFormat="1" ht="14.5">
      <c r="A84" s="199" t="s">
        <v>70</v>
      </c>
      <c r="B84" s="226">
        <v>4</v>
      </c>
      <c r="C84" s="226"/>
      <c r="D84" s="226">
        <v>2.5</v>
      </c>
      <c r="E84" s="226">
        <v>4</v>
      </c>
      <c r="F84" s="226">
        <v>9</v>
      </c>
      <c r="G84" s="302"/>
      <c r="H84" s="302" t="s">
        <v>57</v>
      </c>
      <c r="I84" s="226">
        <v>30</v>
      </c>
      <c r="J84" s="226">
        <v>30</v>
      </c>
      <c r="K84" s="199"/>
      <c r="L84" s="199"/>
      <c r="M84" s="199"/>
      <c r="N84" s="303">
        <v>9347286441</v>
      </c>
      <c r="O84" s="304" t="s">
        <v>516</v>
      </c>
      <c r="P84" s="304" t="s">
        <v>517</v>
      </c>
      <c r="Q84" s="304"/>
      <c r="R84" s="304"/>
      <c r="S84" s="303"/>
      <c r="T84" s="305" t="s">
        <v>321</v>
      </c>
      <c r="U84" s="199" t="s">
        <v>249</v>
      </c>
      <c r="V84" s="199"/>
      <c r="W84" s="266">
        <v>8.8000000000000007</v>
      </c>
      <c r="X84" s="199" t="s">
        <v>518</v>
      </c>
      <c r="Y84" s="199" t="s">
        <v>57</v>
      </c>
      <c r="Z84" s="199"/>
      <c r="AA84" s="89" t="s">
        <v>36</v>
      </c>
    </row>
    <row r="85" spans="1:31" s="136" customFormat="1" ht="18" customHeight="1">
      <c r="A85" s="130" t="s">
        <v>519</v>
      </c>
      <c r="B85" s="131">
        <v>4.3</v>
      </c>
      <c r="C85" s="131"/>
      <c r="D85" s="131">
        <v>4.3</v>
      </c>
      <c r="E85" s="131">
        <v>5.5</v>
      </c>
      <c r="F85" s="131">
        <v>12</v>
      </c>
      <c r="G85" s="132"/>
      <c r="H85" s="132" t="s">
        <v>57</v>
      </c>
      <c r="I85" s="131">
        <v>90</v>
      </c>
      <c r="J85" s="131" t="s">
        <v>48</v>
      </c>
      <c r="K85" s="130"/>
      <c r="L85" s="130"/>
      <c r="M85" s="130"/>
      <c r="N85" s="133">
        <v>7517338598</v>
      </c>
      <c r="O85" s="134" t="s">
        <v>520</v>
      </c>
      <c r="P85" s="134" t="s">
        <v>521</v>
      </c>
      <c r="Q85" s="130" t="s">
        <v>522</v>
      </c>
      <c r="R85" s="130" t="s">
        <v>523</v>
      </c>
      <c r="S85" s="133" t="s">
        <v>61</v>
      </c>
      <c r="T85" s="133" t="s">
        <v>524</v>
      </c>
      <c r="U85" s="130" t="s">
        <v>525</v>
      </c>
      <c r="V85" s="130"/>
      <c r="W85" s="133" t="s">
        <v>273</v>
      </c>
      <c r="X85" s="130" t="s">
        <v>526</v>
      </c>
      <c r="Y85" s="130" t="s">
        <v>57</v>
      </c>
      <c r="Z85" s="130"/>
      <c r="AA85" s="136" t="str">
        <f>$AA$75</f>
        <v>BG-NA</v>
      </c>
    </row>
    <row r="86" spans="1:31" ht="12.75" customHeight="1">
      <c r="A86" s="40" t="s">
        <v>527</v>
      </c>
      <c r="B86" s="40">
        <v>8</v>
      </c>
      <c r="C86" s="40">
        <v>2</v>
      </c>
      <c r="D86" s="40">
        <v>6</v>
      </c>
      <c r="E86" s="40">
        <v>18</v>
      </c>
      <c r="F86" s="40" t="s">
        <v>38</v>
      </c>
      <c r="G86" s="40"/>
      <c r="H86" s="272" t="s">
        <v>528</v>
      </c>
      <c r="I86" s="40">
        <v>90</v>
      </c>
      <c r="J86" s="40">
        <v>90</v>
      </c>
      <c r="K86" s="40"/>
      <c r="L86" s="40"/>
      <c r="M86" s="40"/>
      <c r="N86" s="40">
        <v>9640262920</v>
      </c>
      <c r="O86" s="16" t="s">
        <v>529</v>
      </c>
      <c r="P86" s="40"/>
      <c r="Q86" s="40" t="s">
        <v>208</v>
      </c>
      <c r="R86" s="40" t="s">
        <v>530</v>
      </c>
      <c r="S86" s="41" t="s">
        <v>452</v>
      </c>
      <c r="T86" s="40" t="s">
        <v>531</v>
      </c>
      <c r="U86" s="40" t="s">
        <v>44</v>
      </c>
      <c r="V86" s="40"/>
      <c r="W86" s="41">
        <v>8.1</v>
      </c>
      <c r="X86" s="11" t="s">
        <v>54</v>
      </c>
      <c r="Y86" s="11" t="s">
        <v>55</v>
      </c>
      <c r="Z86" s="11"/>
      <c r="AA86" t="str">
        <f>$AA$75</f>
        <v>BG-NA</v>
      </c>
    </row>
    <row r="87" spans="1:31" ht="27" customHeight="1">
      <c r="A87" s="70" t="s">
        <v>532</v>
      </c>
      <c r="B87" s="143">
        <v>4.5</v>
      </c>
      <c r="C87" s="143">
        <v>2</v>
      </c>
      <c r="D87" s="143">
        <v>2</v>
      </c>
      <c r="E87" s="143">
        <v>5.6</v>
      </c>
      <c r="F87" s="143">
        <v>13</v>
      </c>
      <c r="G87" s="144"/>
      <c r="H87" s="208" t="s">
        <v>91</v>
      </c>
      <c r="I87" s="143">
        <v>15</v>
      </c>
      <c r="J87" s="143">
        <v>30</v>
      </c>
      <c r="K87" s="70"/>
      <c r="L87" s="70"/>
      <c r="M87" s="70"/>
      <c r="N87" s="145">
        <v>8317522550</v>
      </c>
      <c r="O87" s="191" t="s">
        <v>533</v>
      </c>
      <c r="P87" s="191" t="s">
        <v>534</v>
      </c>
      <c r="Q87" s="70" t="s">
        <v>535</v>
      </c>
      <c r="R87" s="70" t="s">
        <v>535</v>
      </c>
      <c r="S87" s="145" t="s">
        <v>81</v>
      </c>
      <c r="T87" s="146" t="s">
        <v>536</v>
      </c>
      <c r="U87" s="70" t="s">
        <v>381</v>
      </c>
      <c r="V87" s="70"/>
      <c r="W87" s="256">
        <v>24</v>
      </c>
      <c r="X87" s="70" t="s">
        <v>537</v>
      </c>
      <c r="Y87" s="70" t="s">
        <v>35</v>
      </c>
      <c r="Z87" s="70"/>
      <c r="AA87" t="str">
        <f>$AA$75</f>
        <v>BG-NA</v>
      </c>
    </row>
    <row r="88" spans="1:31" ht="12" customHeight="1">
      <c r="A88" s="11" t="s">
        <v>538</v>
      </c>
      <c r="B88" s="13">
        <v>12</v>
      </c>
      <c r="C88" s="13"/>
      <c r="D88" s="13">
        <v>5</v>
      </c>
      <c r="E88" s="13"/>
      <c r="F88" s="13"/>
      <c r="G88" s="42"/>
      <c r="H88" s="42"/>
      <c r="I88" s="13">
        <v>60</v>
      </c>
      <c r="J88" s="13">
        <v>60</v>
      </c>
      <c r="K88" s="11"/>
      <c r="L88" s="11"/>
      <c r="M88" s="11"/>
      <c r="N88" s="14">
        <v>9704831190</v>
      </c>
      <c r="O88" s="16" t="s">
        <v>539</v>
      </c>
      <c r="P88" s="11"/>
      <c r="Q88" s="11" t="s">
        <v>208</v>
      </c>
      <c r="S88" s="14"/>
      <c r="T88" s="60"/>
      <c r="U88" s="11" t="s">
        <v>249</v>
      </c>
      <c r="V88" s="11"/>
      <c r="W88" s="157"/>
      <c r="X88" s="11"/>
      <c r="Y88" s="11" t="s">
        <v>75</v>
      </c>
      <c r="Z88" s="11"/>
      <c r="AA88" t="s">
        <v>36</v>
      </c>
    </row>
    <row r="89" spans="1:31" ht="15" customHeight="1">
      <c r="A89" s="11" t="s">
        <v>540</v>
      </c>
      <c r="B89" s="13">
        <v>4.4000000000000004</v>
      </c>
      <c r="C89" s="13"/>
      <c r="D89" s="13">
        <v>4</v>
      </c>
      <c r="E89" s="13">
        <v>6</v>
      </c>
      <c r="F89" s="13">
        <v>15</v>
      </c>
      <c r="G89" s="42"/>
      <c r="H89" s="42" t="s">
        <v>541</v>
      </c>
      <c r="I89" s="13">
        <v>45</v>
      </c>
      <c r="J89" s="13" t="s">
        <v>542</v>
      </c>
      <c r="K89" s="11"/>
      <c r="L89" s="11"/>
      <c r="M89" s="11"/>
      <c r="N89">
        <v>9340444788</v>
      </c>
      <c r="O89" s="73" t="s">
        <v>543</v>
      </c>
      <c r="P89" s="73" t="s">
        <v>544</v>
      </c>
      <c r="Q89" s="11" t="s">
        <v>522</v>
      </c>
      <c r="R89" s="11" t="s">
        <v>545</v>
      </c>
      <c r="S89" s="11" t="s">
        <v>43</v>
      </c>
      <c r="T89" s="60" t="s">
        <v>546</v>
      </c>
      <c r="U89" s="11" t="s">
        <v>547</v>
      </c>
      <c r="V89" s="11"/>
      <c r="W89" s="157">
        <v>23</v>
      </c>
      <c r="X89" s="11" t="s">
        <v>548</v>
      </c>
      <c r="Y89" s="11" t="s">
        <v>35</v>
      </c>
      <c r="Z89" s="11"/>
      <c r="AA89" t="s">
        <v>36</v>
      </c>
    </row>
    <row r="90" spans="1:31" ht="18" customHeight="1">
      <c r="A90" s="11" t="s">
        <v>549</v>
      </c>
      <c r="B90" s="13">
        <v>8</v>
      </c>
      <c r="C90" s="13"/>
      <c r="D90" s="13">
        <v>6</v>
      </c>
      <c r="E90" s="13"/>
      <c r="F90" s="13"/>
      <c r="G90" s="42"/>
      <c r="H90" s="232" t="s">
        <v>550</v>
      </c>
      <c r="I90" s="13">
        <v>30</v>
      </c>
      <c r="J90" s="13">
        <v>30</v>
      </c>
      <c r="K90" s="11"/>
      <c r="L90" s="11"/>
      <c r="M90" s="11"/>
      <c r="N90" s="14"/>
      <c r="O90" s="11"/>
      <c r="P90" s="11"/>
      <c r="Q90" s="11"/>
      <c r="R90" s="11"/>
      <c r="S90" s="14"/>
      <c r="T90" s="60"/>
      <c r="U90" s="11"/>
      <c r="V90" s="11"/>
      <c r="W90" s="157"/>
      <c r="X90" s="11"/>
      <c r="Y90" s="11" t="s">
        <v>75</v>
      </c>
      <c r="Z90" s="11"/>
      <c r="AA90" t="s">
        <v>67</v>
      </c>
    </row>
    <row r="91" spans="1:31" s="89" customFormat="1" ht="14.5">
      <c r="A91" s="88" t="s">
        <v>551</v>
      </c>
      <c r="B91" s="80">
        <v>7.8</v>
      </c>
      <c r="C91" s="80">
        <v>4</v>
      </c>
      <c r="D91" s="80">
        <v>4</v>
      </c>
      <c r="E91" s="80">
        <v>31</v>
      </c>
      <c r="F91" s="80">
        <v>35</v>
      </c>
      <c r="G91" s="198"/>
      <c r="H91" s="198" t="s">
        <v>57</v>
      </c>
      <c r="I91" s="80" t="s">
        <v>40</v>
      </c>
      <c r="J91" s="80" t="s">
        <v>40</v>
      </c>
      <c r="K91" s="88"/>
      <c r="L91" s="88"/>
      <c r="M91" s="88"/>
      <c r="N91" s="83" t="s">
        <v>65</v>
      </c>
      <c r="O91" s="88" t="s">
        <v>317</v>
      </c>
      <c r="P91" s="88" t="s">
        <v>552</v>
      </c>
      <c r="Q91" s="88" t="s">
        <v>530</v>
      </c>
      <c r="R91" s="88" t="s">
        <v>545</v>
      </c>
      <c r="S91" s="83" t="s">
        <v>553</v>
      </c>
      <c r="T91" s="99" t="s">
        <v>554</v>
      </c>
      <c r="U91" s="88" t="s">
        <v>555</v>
      </c>
      <c r="V91" s="88"/>
      <c r="W91" s="266">
        <v>23</v>
      </c>
      <c r="X91" s="199" t="s">
        <v>54</v>
      </c>
      <c r="Y91" s="199" t="s">
        <v>57</v>
      </c>
      <c r="AA91" s="200" t="s">
        <v>67</v>
      </c>
    </row>
    <row r="92" spans="1:31" ht="14.5">
      <c r="A92" s="43" t="s">
        <v>556</v>
      </c>
      <c r="B92" s="44">
        <v>4.2</v>
      </c>
      <c r="C92" s="44"/>
      <c r="D92" s="44">
        <v>4.0999999999999996</v>
      </c>
      <c r="E92" s="44">
        <v>14</v>
      </c>
      <c r="F92" s="44">
        <v>20</v>
      </c>
      <c r="G92" s="48"/>
      <c r="H92" s="48" t="s">
        <v>119</v>
      </c>
      <c r="I92" s="44">
        <v>45</v>
      </c>
      <c r="J92" s="44">
        <v>45</v>
      </c>
      <c r="K92" s="43"/>
      <c r="L92" s="43"/>
      <c r="M92" s="43"/>
      <c r="N92">
        <v>7095543549</v>
      </c>
      <c r="O92" s="56" t="s">
        <v>557</v>
      </c>
      <c r="P92" s="43"/>
      <c r="Q92" s="43" t="s">
        <v>209</v>
      </c>
      <c r="R92" s="43" t="s">
        <v>378</v>
      </c>
      <c r="S92" s="47" t="s">
        <v>558</v>
      </c>
      <c r="T92" s="62" t="s">
        <v>329</v>
      </c>
      <c r="U92" s="43" t="s">
        <v>44</v>
      </c>
      <c r="V92" s="119"/>
      <c r="W92" s="14"/>
      <c r="X92" s="11" t="s">
        <v>244</v>
      </c>
      <c r="Y92" s="11" t="s">
        <v>55</v>
      </c>
      <c r="Z92" s="11"/>
    </row>
    <row r="93" spans="1:31" ht="12.75" customHeight="1">
      <c r="A93" s="11" t="s">
        <v>559</v>
      </c>
      <c r="B93" s="13">
        <v>4</v>
      </c>
      <c r="C93" s="13">
        <v>3.5</v>
      </c>
      <c r="D93" s="13">
        <v>1.5</v>
      </c>
      <c r="E93" s="13">
        <v>8.5</v>
      </c>
      <c r="F93" s="13">
        <v>14</v>
      </c>
      <c r="G93" s="42"/>
      <c r="H93" s="42"/>
      <c r="I93" s="13">
        <v>60</v>
      </c>
      <c r="J93" s="13" t="s">
        <v>542</v>
      </c>
      <c r="K93" s="11"/>
      <c r="L93" s="11"/>
      <c r="M93" s="11"/>
      <c r="N93" s="14">
        <v>8309685479</v>
      </c>
      <c r="O93" s="16" t="s">
        <v>560</v>
      </c>
      <c r="P93" s="197" t="s">
        <v>561</v>
      </c>
      <c r="Q93" s="11" t="s">
        <v>209</v>
      </c>
      <c r="R93" s="11" t="s">
        <v>562</v>
      </c>
      <c r="S93" s="14" t="s">
        <v>452</v>
      </c>
      <c r="T93" s="14" t="s">
        <v>563</v>
      </c>
      <c r="U93" s="11" t="s">
        <v>44</v>
      </c>
      <c r="V93" s="65"/>
      <c r="W93" s="14">
        <v>24</v>
      </c>
      <c r="X93" s="11">
        <v>24</v>
      </c>
      <c r="Y93" s="11" t="s">
        <v>75</v>
      </c>
      <c r="Z93" s="11"/>
      <c r="AA93" t="s">
        <v>36</v>
      </c>
    </row>
    <row r="94" spans="1:31" ht="15" customHeight="1">
      <c r="A94" s="11" t="s">
        <v>564</v>
      </c>
      <c r="B94" s="13">
        <v>4</v>
      </c>
      <c r="C94" s="13"/>
      <c r="D94" s="13">
        <v>0.3</v>
      </c>
      <c r="E94" s="13"/>
      <c r="F94" s="13"/>
      <c r="G94" s="42"/>
      <c r="H94" s="42"/>
      <c r="I94" s="13">
        <v>30</v>
      </c>
      <c r="J94" s="13">
        <v>30</v>
      </c>
      <c r="K94" s="11"/>
      <c r="L94" s="11"/>
      <c r="M94" s="11"/>
      <c r="N94" s="14"/>
      <c r="O94" s="11"/>
      <c r="P94" s="11"/>
      <c r="Q94" s="11"/>
      <c r="R94" s="11"/>
      <c r="S94" s="14"/>
      <c r="T94" s="14"/>
      <c r="U94" s="11"/>
      <c r="V94" s="65"/>
      <c r="W94" s="14"/>
      <c r="X94" s="11"/>
      <c r="Y94" s="11" t="s">
        <v>75</v>
      </c>
      <c r="Z94" s="11"/>
      <c r="AA94" t="s">
        <v>36</v>
      </c>
    </row>
    <row r="95" spans="1:31" s="136" customFormat="1" ht="15" customHeight="1">
      <c r="A95" s="130" t="s">
        <v>565</v>
      </c>
      <c r="B95" s="131">
        <v>5</v>
      </c>
      <c r="C95" s="131"/>
      <c r="D95" s="131">
        <v>2.6</v>
      </c>
      <c r="E95" s="131">
        <v>10.5</v>
      </c>
      <c r="F95" s="131">
        <v>16</v>
      </c>
      <c r="G95" s="132"/>
      <c r="H95" s="132" t="s">
        <v>119</v>
      </c>
      <c r="I95" s="131">
        <v>60</v>
      </c>
      <c r="J95" s="131">
        <v>60</v>
      </c>
      <c r="K95" s="130"/>
      <c r="L95" s="130"/>
      <c r="M95" s="130"/>
      <c r="N95" s="136">
        <v>9502309174</v>
      </c>
      <c r="O95" s="136" t="s">
        <v>566</v>
      </c>
      <c r="P95" s="134" t="s">
        <v>567</v>
      </c>
      <c r="Q95" s="130" t="s">
        <v>209</v>
      </c>
      <c r="R95" s="130" t="s">
        <v>378</v>
      </c>
      <c r="S95" s="133" t="s">
        <v>61</v>
      </c>
      <c r="T95" s="133" t="s">
        <v>568</v>
      </c>
      <c r="U95" s="136" t="s">
        <v>202</v>
      </c>
      <c r="V95" s="139"/>
      <c r="W95" s="133">
        <v>23</v>
      </c>
      <c r="X95" s="130" t="s">
        <v>212</v>
      </c>
      <c r="Y95" s="130" t="s">
        <v>569</v>
      </c>
      <c r="Z95" s="130"/>
    </row>
    <row r="96" spans="1:31" ht="15" customHeight="1">
      <c r="A96" s="11" t="s">
        <v>570</v>
      </c>
      <c r="B96" s="13">
        <v>3</v>
      </c>
      <c r="C96" s="13"/>
      <c r="D96" s="292">
        <v>0</v>
      </c>
      <c r="E96" s="13"/>
      <c r="F96" s="13"/>
      <c r="G96" s="42"/>
      <c r="H96" s="42"/>
      <c r="I96" s="13" t="s">
        <v>148</v>
      </c>
      <c r="J96" s="13" t="s">
        <v>148</v>
      </c>
      <c r="K96" s="11"/>
      <c r="L96" s="11"/>
      <c r="M96" s="11"/>
      <c r="N96" s="14" t="s">
        <v>571</v>
      </c>
      <c r="O96" s="16" t="s">
        <v>572</v>
      </c>
      <c r="P96" s="16" t="s">
        <v>573</v>
      </c>
      <c r="Q96" s="11"/>
      <c r="R96" s="11"/>
      <c r="S96" s="14"/>
      <c r="T96" s="14"/>
      <c r="U96" s="11"/>
      <c r="V96" s="65"/>
      <c r="W96" s="14"/>
      <c r="X96" s="11"/>
      <c r="Y96" s="11"/>
      <c r="Z96" s="11"/>
      <c r="AA96" t="s">
        <v>36</v>
      </c>
    </row>
    <row r="97" spans="1:27" s="235" customFormat="1" ht="15" customHeight="1">
      <c r="A97" s="230" t="s">
        <v>574</v>
      </c>
      <c r="B97" s="231">
        <v>4.5999999999999996</v>
      </c>
      <c r="C97" s="231"/>
      <c r="D97" s="231">
        <v>4.0999999999999996</v>
      </c>
      <c r="E97" s="231">
        <v>7</v>
      </c>
      <c r="F97" s="231">
        <v>16</v>
      </c>
      <c r="G97" s="232"/>
      <c r="H97" s="232" t="s">
        <v>57</v>
      </c>
      <c r="I97" s="231">
        <v>15</v>
      </c>
      <c r="J97" s="231">
        <v>15</v>
      </c>
      <c r="K97" s="230"/>
      <c r="L97" s="230"/>
      <c r="M97" s="230"/>
      <c r="N97" s="233">
        <v>9398333390</v>
      </c>
      <c r="O97" s="234" t="s">
        <v>575</v>
      </c>
      <c r="P97" s="230" t="s">
        <v>112</v>
      </c>
      <c r="Q97" s="230" t="s">
        <v>209</v>
      </c>
      <c r="R97" s="230" t="s">
        <v>350</v>
      </c>
      <c r="S97" s="233" t="s">
        <v>61</v>
      </c>
      <c r="T97" s="233" t="s">
        <v>474</v>
      </c>
      <c r="U97" s="230" t="s">
        <v>249</v>
      </c>
      <c r="V97" s="230"/>
      <c r="W97" s="233">
        <v>24</v>
      </c>
      <c r="X97" s="230" t="s">
        <v>576</v>
      </c>
      <c r="Y97" s="230"/>
      <c r="Z97" s="230"/>
    </row>
    <row r="98" spans="1:27" ht="15" customHeight="1">
      <c r="A98" s="11" t="s">
        <v>577</v>
      </c>
      <c r="B98" s="13">
        <v>7.5</v>
      </c>
      <c r="C98" s="13">
        <v>3</v>
      </c>
      <c r="D98" s="13">
        <v>4.8</v>
      </c>
      <c r="E98" s="13">
        <v>24</v>
      </c>
      <c r="F98" s="13">
        <v>30</v>
      </c>
      <c r="G98" s="42"/>
      <c r="H98" s="42" t="s">
        <v>119</v>
      </c>
      <c r="I98" s="13" t="s">
        <v>148</v>
      </c>
      <c r="J98" s="13" t="s">
        <v>578</v>
      </c>
      <c r="K98" s="11"/>
      <c r="L98" s="11"/>
      <c r="M98" s="11"/>
      <c r="N98" s="14" t="s">
        <v>579</v>
      </c>
      <c r="O98" s="73" t="s">
        <v>580</v>
      </c>
      <c r="P98" s="11"/>
      <c r="Q98" s="11" t="s">
        <v>581</v>
      </c>
      <c r="R98" s="11" t="s">
        <v>582</v>
      </c>
      <c r="S98" s="14" t="s">
        <v>393</v>
      </c>
      <c r="T98" s="14" t="s">
        <v>583</v>
      </c>
      <c r="U98" s="11" t="s">
        <v>584</v>
      </c>
      <c r="V98" s="11" t="s">
        <v>96</v>
      </c>
      <c r="W98" s="14">
        <v>8</v>
      </c>
      <c r="X98" s="11" t="s">
        <v>261</v>
      </c>
      <c r="Y98" s="11" t="s">
        <v>55</v>
      </c>
      <c r="Z98" s="11"/>
    </row>
    <row r="99" spans="1:27" ht="15" customHeight="1">
      <c r="A99" s="96" t="s">
        <v>585</v>
      </c>
      <c r="B99" s="13">
        <v>5.5</v>
      </c>
      <c r="C99" s="13"/>
      <c r="D99" s="13">
        <v>5.5</v>
      </c>
      <c r="E99" s="13"/>
      <c r="F99" s="13"/>
      <c r="G99" s="42"/>
      <c r="H99" s="42"/>
      <c r="I99" s="13">
        <v>90</v>
      </c>
      <c r="J99" s="13">
        <v>90</v>
      </c>
      <c r="K99" s="11"/>
      <c r="L99" s="11"/>
      <c r="M99" s="11"/>
      <c r="N99" s="14"/>
      <c r="O99" s="11"/>
      <c r="P99" s="11"/>
      <c r="Q99" s="11"/>
      <c r="R99" s="11"/>
      <c r="S99" s="14"/>
      <c r="T99" s="14"/>
      <c r="U99" s="11" t="s">
        <v>586</v>
      </c>
      <c r="V99" s="11"/>
      <c r="W99" s="14"/>
      <c r="X99" s="11"/>
      <c r="Y99" s="11"/>
      <c r="Z99" s="11"/>
      <c r="AA99" t="s">
        <v>36</v>
      </c>
    </row>
    <row r="100" spans="1:27" ht="15" customHeight="1">
      <c r="A100" s="11" t="s">
        <v>587</v>
      </c>
      <c r="B100" s="13">
        <v>12.6</v>
      </c>
      <c r="C100" s="13"/>
      <c r="D100" s="13">
        <v>7</v>
      </c>
      <c r="E100" s="13">
        <v>35</v>
      </c>
      <c r="F100" s="13">
        <v>45</v>
      </c>
      <c r="G100" s="42"/>
      <c r="H100" s="232" t="s">
        <v>550</v>
      </c>
      <c r="I100" s="13">
        <v>60</v>
      </c>
      <c r="J100" s="13">
        <v>60</v>
      </c>
      <c r="K100" s="11"/>
      <c r="L100" s="11"/>
      <c r="M100" s="11"/>
      <c r="N100" s="14" t="s">
        <v>588</v>
      </c>
      <c r="O100" s="16" t="s">
        <v>589</v>
      </c>
      <c r="P100" s="11"/>
      <c r="Q100" s="11" t="s">
        <v>590</v>
      </c>
      <c r="R100" s="11" t="s">
        <v>590</v>
      </c>
      <c r="S100" s="14" t="s">
        <v>591</v>
      </c>
      <c r="T100" s="14" t="s">
        <v>165</v>
      </c>
      <c r="U100" s="11" t="s">
        <v>166</v>
      </c>
      <c r="V100" s="11"/>
      <c r="W100" s="14">
        <v>24</v>
      </c>
      <c r="X100" s="11" t="s">
        <v>592</v>
      </c>
      <c r="Y100" s="11"/>
      <c r="Z100" s="11"/>
      <c r="AA100" t="s">
        <v>67</v>
      </c>
    </row>
    <row r="101" spans="1:27" ht="15" customHeight="1">
      <c r="A101" s="11" t="s">
        <v>593</v>
      </c>
      <c r="B101" s="13">
        <v>3.2</v>
      </c>
      <c r="C101" s="13"/>
      <c r="D101" s="13">
        <v>2.8</v>
      </c>
      <c r="E101" s="13">
        <v>9</v>
      </c>
      <c r="F101" s="13">
        <v>12</v>
      </c>
      <c r="G101" s="42"/>
      <c r="H101" s="42"/>
      <c r="I101" s="13">
        <v>90</v>
      </c>
      <c r="J101" s="13">
        <v>90</v>
      </c>
      <c r="K101" s="11"/>
      <c r="L101" s="11"/>
      <c r="M101" s="11"/>
      <c r="N101" s="14">
        <v>7870468926</v>
      </c>
      <c r="O101" s="16" t="s">
        <v>594</v>
      </c>
      <c r="P101" s="11" t="s">
        <v>595</v>
      </c>
      <c r="Q101" s="11" t="s">
        <v>596</v>
      </c>
      <c r="R101" s="11" t="s">
        <v>596</v>
      </c>
      <c r="S101" s="14" t="s">
        <v>61</v>
      </c>
      <c r="T101" s="14" t="s">
        <v>186</v>
      </c>
      <c r="U101" s="11" t="s">
        <v>186</v>
      </c>
      <c r="V101" s="11"/>
      <c r="W101" s="14">
        <v>24.2</v>
      </c>
      <c r="X101" s="11" t="s">
        <v>187</v>
      </c>
      <c r="Y101" s="11"/>
      <c r="Z101" s="11"/>
      <c r="AA101" t="s">
        <v>36</v>
      </c>
    </row>
    <row r="102" spans="1:27" s="136" customFormat="1" ht="15" customHeight="1">
      <c r="A102" s="130" t="s">
        <v>597</v>
      </c>
      <c r="B102" s="131">
        <v>4</v>
      </c>
      <c r="C102" s="131"/>
      <c r="D102" s="131">
        <v>3.8</v>
      </c>
      <c r="E102" s="131">
        <v>13</v>
      </c>
      <c r="F102" s="131">
        <v>23</v>
      </c>
      <c r="G102" s="132"/>
      <c r="H102" s="190" t="s">
        <v>528</v>
      </c>
      <c r="I102" s="131">
        <v>60</v>
      </c>
      <c r="J102" s="131" t="s">
        <v>92</v>
      </c>
      <c r="K102" s="130"/>
      <c r="L102" s="130"/>
      <c r="M102" s="130"/>
      <c r="N102" s="133" t="s">
        <v>598</v>
      </c>
      <c r="O102" s="134" t="s">
        <v>599</v>
      </c>
      <c r="P102" s="134" t="s">
        <v>600</v>
      </c>
      <c r="Q102" s="130" t="s">
        <v>601</v>
      </c>
      <c r="R102" s="130" t="s">
        <v>209</v>
      </c>
      <c r="S102" s="133" t="s">
        <v>591</v>
      </c>
      <c r="T102" s="133" t="s">
        <v>81</v>
      </c>
      <c r="U102" s="130" t="s">
        <v>166</v>
      </c>
      <c r="V102" s="130"/>
      <c r="W102" s="133">
        <v>8.6999999999999993</v>
      </c>
      <c r="X102" s="130" t="s">
        <v>602</v>
      </c>
      <c r="Y102" s="130" t="s">
        <v>569</v>
      </c>
      <c r="Z102" s="130"/>
    </row>
    <row r="103" spans="1:27" s="136" customFormat="1" ht="15" customHeight="1">
      <c r="A103" s="130" t="s">
        <v>603</v>
      </c>
      <c r="B103" s="131">
        <v>3.9</v>
      </c>
      <c r="C103" s="131"/>
      <c r="D103" s="131">
        <v>3.5</v>
      </c>
      <c r="E103" s="131">
        <v>15</v>
      </c>
      <c r="F103" s="131">
        <v>28</v>
      </c>
      <c r="G103" s="132"/>
      <c r="H103" s="132" t="s">
        <v>119</v>
      </c>
      <c r="I103" s="131">
        <v>30</v>
      </c>
      <c r="J103" s="131">
        <v>30</v>
      </c>
      <c r="K103" s="130"/>
      <c r="L103" s="130"/>
      <c r="M103" s="130"/>
      <c r="N103" s="136">
        <v>9948853669</v>
      </c>
      <c r="O103" s="134" t="s">
        <v>604</v>
      </c>
      <c r="P103" s="134" t="s">
        <v>605</v>
      </c>
      <c r="Q103" s="130" t="s">
        <v>208</v>
      </c>
      <c r="R103" s="130" t="s">
        <v>209</v>
      </c>
      <c r="S103" s="133" t="s">
        <v>606</v>
      </c>
      <c r="T103" s="133" t="s">
        <v>607</v>
      </c>
      <c r="U103" s="130" t="s">
        <v>202</v>
      </c>
      <c r="V103" s="130"/>
      <c r="W103" s="133">
        <v>8.8000000000000007</v>
      </c>
      <c r="X103" s="130" t="s">
        <v>187</v>
      </c>
      <c r="Y103" s="130" t="s">
        <v>569</v>
      </c>
      <c r="Z103" s="130"/>
    </row>
    <row r="104" spans="1:27" ht="15" customHeight="1">
      <c r="A104" s="11" t="s">
        <v>608</v>
      </c>
      <c r="B104" s="13">
        <v>4</v>
      </c>
      <c r="C104" s="13"/>
      <c r="D104" s="13">
        <v>2</v>
      </c>
      <c r="E104" s="13">
        <v>5.5</v>
      </c>
      <c r="F104" s="13">
        <v>14</v>
      </c>
      <c r="G104" s="42"/>
      <c r="H104" s="42"/>
      <c r="I104" s="13">
        <v>60</v>
      </c>
      <c r="J104" s="13">
        <v>60</v>
      </c>
      <c r="K104" s="11"/>
      <c r="L104" s="11"/>
      <c r="M104" s="11"/>
      <c r="N104">
        <v>9949423843</v>
      </c>
      <c r="O104" s="16" t="s">
        <v>609</v>
      </c>
      <c r="P104" s="16" t="s">
        <v>610</v>
      </c>
      <c r="Q104" s="11" t="s">
        <v>208</v>
      </c>
      <c r="R104" s="11" t="s">
        <v>209</v>
      </c>
      <c r="S104" s="14" t="s">
        <v>611</v>
      </c>
      <c r="T104" s="14" t="s">
        <v>612</v>
      </c>
      <c r="U104" s="11" t="s">
        <v>202</v>
      </c>
      <c r="V104" s="11"/>
      <c r="W104" s="14">
        <v>8.8000000000000007</v>
      </c>
      <c r="X104" s="11" t="s">
        <v>613</v>
      </c>
      <c r="Y104" s="11"/>
      <c r="Z104" s="11"/>
      <c r="AA104" t="s">
        <v>36</v>
      </c>
    </row>
    <row r="105" spans="1:27" ht="15" customHeight="1">
      <c r="A105" s="11" t="s">
        <v>614</v>
      </c>
      <c r="B105" s="13">
        <v>9</v>
      </c>
      <c r="C105" s="13">
        <v>8</v>
      </c>
      <c r="D105" s="13">
        <v>4</v>
      </c>
      <c r="E105" s="13">
        <v>38</v>
      </c>
      <c r="F105" s="13">
        <v>50</v>
      </c>
      <c r="G105" s="42"/>
      <c r="H105" s="42"/>
      <c r="I105" s="13">
        <v>45</v>
      </c>
      <c r="J105" s="13">
        <v>45</v>
      </c>
      <c r="K105" s="11"/>
      <c r="L105" s="11"/>
      <c r="M105" s="11"/>
      <c r="N105" s="277">
        <v>8125366819</v>
      </c>
      <c r="O105" s="16" t="s">
        <v>615</v>
      </c>
      <c r="P105" t="s">
        <v>614</v>
      </c>
      <c r="Q105" s="11"/>
      <c r="R105" s="11" t="s">
        <v>616</v>
      </c>
      <c r="S105" t="s">
        <v>617</v>
      </c>
      <c r="T105" t="s">
        <v>618</v>
      </c>
      <c r="U105" s="11" t="s">
        <v>619</v>
      </c>
      <c r="V105" s="11"/>
      <c r="W105" s="14"/>
      <c r="X105" s="11" t="s">
        <v>620</v>
      </c>
      <c r="Y105" s="11" t="s">
        <v>55</v>
      </c>
      <c r="Z105" s="11" t="s">
        <v>621</v>
      </c>
      <c r="AA105" t="s">
        <v>438</v>
      </c>
    </row>
    <row r="106" spans="1:27" s="127" customFormat="1" ht="15" customHeight="1">
      <c r="A106" s="291" t="s">
        <v>622</v>
      </c>
      <c r="B106" s="122">
        <v>4</v>
      </c>
      <c r="C106" s="122"/>
      <c r="D106" s="122">
        <v>4</v>
      </c>
      <c r="E106" s="122">
        <v>18</v>
      </c>
      <c r="F106" s="122">
        <v>25</v>
      </c>
      <c r="G106" s="123"/>
      <c r="H106" s="123"/>
      <c r="I106" s="122">
        <v>30</v>
      </c>
      <c r="J106" s="122">
        <v>30</v>
      </c>
      <c r="K106" s="121"/>
      <c r="L106" s="121"/>
      <c r="M106" s="121"/>
      <c r="N106" s="124">
        <v>9491015044</v>
      </c>
      <c r="O106" s="125" t="s">
        <v>623</v>
      </c>
      <c r="P106" s="121"/>
      <c r="Q106" s="121" t="s">
        <v>208</v>
      </c>
      <c r="R106" s="121" t="s">
        <v>209</v>
      </c>
      <c r="S106" s="124" t="s">
        <v>225</v>
      </c>
      <c r="T106" s="49" t="s">
        <v>415</v>
      </c>
      <c r="U106" s="121" t="s">
        <v>44</v>
      </c>
      <c r="V106" s="121"/>
      <c r="W106" s="124" t="s">
        <v>624</v>
      </c>
      <c r="X106" s="121" t="s">
        <v>212</v>
      </c>
      <c r="Y106" s="121" t="s">
        <v>75</v>
      </c>
      <c r="Z106" s="121"/>
      <c r="AA106" s="127" t="s">
        <v>36</v>
      </c>
    </row>
    <row r="107" spans="1:27" ht="15" customHeight="1">
      <c r="A107" s="11" t="s">
        <v>625</v>
      </c>
      <c r="B107" s="13">
        <v>19</v>
      </c>
      <c r="C107" s="13">
        <v>15</v>
      </c>
      <c r="D107" s="13">
        <v>5</v>
      </c>
      <c r="E107" s="13">
        <v>45</v>
      </c>
      <c r="F107" s="13" t="s">
        <v>38</v>
      </c>
      <c r="G107" s="42"/>
      <c r="H107" s="42"/>
      <c r="I107" s="13">
        <v>30</v>
      </c>
      <c r="J107" s="13" t="s">
        <v>626</v>
      </c>
      <c r="K107" s="11"/>
      <c r="L107" s="11"/>
      <c r="M107" s="11"/>
      <c r="N107" s="275">
        <v>9789095292</v>
      </c>
      <c r="O107" s="270" t="s">
        <v>627</v>
      </c>
      <c r="P107" s="11"/>
      <c r="Q107" s="11" t="s">
        <v>310</v>
      </c>
      <c r="R107" s="11" t="s">
        <v>628</v>
      </c>
      <c r="S107" s="49" t="s">
        <v>629</v>
      </c>
      <c r="T107" s="49" t="s">
        <v>629</v>
      </c>
      <c r="U107" s="275" t="s">
        <v>630</v>
      </c>
      <c r="V107" s="11"/>
      <c r="W107" s="14">
        <v>8.6</v>
      </c>
      <c r="X107" s="11" t="s">
        <v>631</v>
      </c>
      <c r="Y107" s="11" t="s">
        <v>75</v>
      </c>
      <c r="Z107" s="11"/>
      <c r="AA107" t="s">
        <v>36</v>
      </c>
    </row>
    <row r="108" spans="1:27" s="89" customFormat="1" ht="15" customHeight="1">
      <c r="A108" s="88" t="s">
        <v>632</v>
      </c>
      <c r="B108" s="80">
        <v>6.5</v>
      </c>
      <c r="C108" s="80">
        <v>5.4</v>
      </c>
      <c r="D108" s="80">
        <v>3.5</v>
      </c>
      <c r="E108" s="80">
        <v>16</v>
      </c>
      <c r="F108" s="80">
        <v>25</v>
      </c>
      <c r="G108" s="198"/>
      <c r="H108" s="232" t="s">
        <v>550</v>
      </c>
      <c r="I108" s="80" t="s">
        <v>40</v>
      </c>
      <c r="J108" s="80" t="s">
        <v>633</v>
      </c>
      <c r="K108" s="88"/>
      <c r="L108" s="88"/>
      <c r="M108" s="88"/>
      <c r="N108" s="89">
        <v>9542942882</v>
      </c>
      <c r="O108" s="89" t="s">
        <v>634</v>
      </c>
      <c r="P108" s="322" t="s">
        <v>635</v>
      </c>
      <c r="Q108" s="323" t="s">
        <v>208</v>
      </c>
      <c r="R108" s="323" t="s">
        <v>209</v>
      </c>
      <c r="S108" s="89" t="s">
        <v>72</v>
      </c>
      <c r="T108" s="89" t="s">
        <v>636</v>
      </c>
      <c r="U108" s="88" t="s">
        <v>525</v>
      </c>
      <c r="V108" s="88"/>
      <c r="W108" s="83">
        <v>23</v>
      </c>
      <c r="X108" s="88" t="s">
        <v>637</v>
      </c>
      <c r="Y108" s="88" t="s">
        <v>75</v>
      </c>
      <c r="Z108" s="88" t="s">
        <v>638</v>
      </c>
      <c r="AA108" s="89" t="s">
        <v>67</v>
      </c>
    </row>
    <row r="109" spans="1:27" ht="15" customHeight="1">
      <c r="A109" s="11" t="s">
        <v>639</v>
      </c>
      <c r="B109" s="13">
        <v>12</v>
      </c>
      <c r="C109" s="13">
        <v>4</v>
      </c>
      <c r="D109" s="13">
        <v>4</v>
      </c>
      <c r="E109" s="13">
        <v>20</v>
      </c>
      <c r="F109" s="13">
        <v>38</v>
      </c>
      <c r="G109" s="42"/>
      <c r="H109" s="232"/>
      <c r="I109" s="13">
        <v>30</v>
      </c>
      <c r="J109" s="13">
        <v>30</v>
      </c>
      <c r="K109" s="11"/>
      <c r="L109" s="11"/>
      <c r="M109" s="11"/>
      <c r="N109" s="275" t="s">
        <v>640</v>
      </c>
      <c r="O109" s="11" t="s">
        <v>641</v>
      </c>
      <c r="P109" s="290" t="s">
        <v>642</v>
      </c>
      <c r="Q109" s="11" t="s">
        <v>643</v>
      </c>
      <c r="R109" s="11" t="s">
        <v>130</v>
      </c>
      <c r="S109" s="14" t="s">
        <v>644</v>
      </c>
      <c r="T109" s="14" t="s">
        <v>644</v>
      </c>
      <c r="U109" s="11" t="s">
        <v>32</v>
      </c>
      <c r="V109" s="11"/>
      <c r="W109" s="14">
        <v>23</v>
      </c>
      <c r="X109" s="11" t="s">
        <v>212</v>
      </c>
      <c r="Y109" s="11" t="s">
        <v>75</v>
      </c>
      <c r="Z109" s="11"/>
      <c r="AA109" t="s">
        <v>645</v>
      </c>
    </row>
    <row r="110" spans="1:27" ht="15" customHeight="1">
      <c r="A110" s="11" t="s">
        <v>646</v>
      </c>
      <c r="B110" s="13">
        <v>10</v>
      </c>
      <c r="C110" s="13">
        <v>7</v>
      </c>
      <c r="D110" s="13">
        <v>4</v>
      </c>
      <c r="E110" s="13">
        <v>40</v>
      </c>
      <c r="F110" s="13">
        <v>60</v>
      </c>
      <c r="G110" s="42"/>
      <c r="H110" s="42"/>
      <c r="I110" s="13">
        <v>60</v>
      </c>
      <c r="J110" s="13">
        <v>60</v>
      </c>
      <c r="K110" s="11"/>
      <c r="L110" s="11"/>
      <c r="M110" s="11"/>
      <c r="N110" s="275">
        <v>9730860905</v>
      </c>
      <c r="O110" s="290" t="s">
        <v>647</v>
      </c>
      <c r="P110" s="290" t="s">
        <v>648</v>
      </c>
      <c r="Q110" s="11" t="s">
        <v>649</v>
      </c>
      <c r="R110" s="11" t="s">
        <v>650</v>
      </c>
      <c r="S110" s="14" t="s">
        <v>651</v>
      </c>
      <c r="T110" s="275" t="s">
        <v>652</v>
      </c>
      <c r="U110" s="11" t="s">
        <v>653</v>
      </c>
      <c r="V110" s="11"/>
      <c r="W110" s="14">
        <v>8.8000000000000007</v>
      </c>
      <c r="X110" s="11" t="s">
        <v>212</v>
      </c>
      <c r="Y110" s="11" t="s">
        <v>75</v>
      </c>
      <c r="Z110" s="11"/>
      <c r="AA110" t="s">
        <v>36</v>
      </c>
    </row>
    <row r="111" spans="1:27" s="89" customFormat="1" ht="15" customHeight="1">
      <c r="A111" s="88" t="s">
        <v>654</v>
      </c>
      <c r="B111" s="80">
        <v>2</v>
      </c>
      <c r="C111" s="80"/>
      <c r="D111" s="80">
        <v>2</v>
      </c>
      <c r="E111" s="80">
        <v>3.5</v>
      </c>
      <c r="F111" s="80">
        <v>6</v>
      </c>
      <c r="G111" s="198"/>
      <c r="H111" s="198"/>
      <c r="I111" s="80">
        <v>60</v>
      </c>
      <c r="J111" s="80">
        <v>60</v>
      </c>
      <c r="K111" s="88"/>
      <c r="L111" s="88"/>
      <c r="M111" s="88"/>
      <c r="N111" s="89">
        <v>7339143587</v>
      </c>
      <c r="O111" s="326" t="s">
        <v>655</v>
      </c>
      <c r="P111" s="88"/>
      <c r="Q111" s="88" t="s">
        <v>656</v>
      </c>
      <c r="R111" s="88" t="s">
        <v>657</v>
      </c>
      <c r="S111" s="83" t="s">
        <v>225</v>
      </c>
      <c r="T111" s="83" t="s">
        <v>329</v>
      </c>
      <c r="U111" s="88" t="s">
        <v>44</v>
      </c>
      <c r="V111" s="88" t="s">
        <v>96</v>
      </c>
      <c r="W111" s="83">
        <v>23</v>
      </c>
      <c r="X111" s="89" t="s">
        <v>658</v>
      </c>
      <c r="Y111" s="88" t="s">
        <v>75</v>
      </c>
      <c r="Z111" s="88"/>
      <c r="AA111" s="89" t="s">
        <v>67</v>
      </c>
    </row>
    <row r="112" spans="1:27" ht="15" customHeight="1">
      <c r="A112" s="11" t="s">
        <v>659</v>
      </c>
      <c r="B112" s="13">
        <v>4</v>
      </c>
      <c r="C112" s="13">
        <v>4</v>
      </c>
      <c r="D112" s="13">
        <v>4</v>
      </c>
      <c r="E112" s="13">
        <v>9</v>
      </c>
      <c r="F112" s="13">
        <v>13</v>
      </c>
      <c r="G112" s="42"/>
      <c r="H112" s="42" t="s">
        <v>57</v>
      </c>
      <c r="I112" s="13">
        <v>90</v>
      </c>
      <c r="J112" s="13">
        <v>90</v>
      </c>
      <c r="K112" s="11"/>
      <c r="L112" s="11"/>
      <c r="M112" s="11"/>
      <c r="N112" t="s">
        <v>660</v>
      </c>
      <c r="O112" s="290" t="s">
        <v>661</v>
      </c>
      <c r="P112" s="11"/>
      <c r="Q112" s="11" t="s">
        <v>590</v>
      </c>
      <c r="R112" s="11" t="s">
        <v>662</v>
      </c>
      <c r="S112" s="14" t="s">
        <v>88</v>
      </c>
      <c r="T112" s="14" t="s">
        <v>436</v>
      </c>
      <c r="U112" s="11" t="s">
        <v>186</v>
      </c>
      <c r="V112" s="11"/>
      <c r="W112" s="14">
        <v>8.8000000000000007</v>
      </c>
      <c r="X112" s="11" t="s">
        <v>602</v>
      </c>
      <c r="Y112" s="11" t="s">
        <v>75</v>
      </c>
      <c r="Z112" s="11"/>
      <c r="AA112" t="s">
        <v>36</v>
      </c>
    </row>
    <row r="113" spans="1:27" ht="15" customHeight="1">
      <c r="A113" s="11" t="s">
        <v>663</v>
      </c>
      <c r="B113" s="13">
        <v>5.4</v>
      </c>
      <c r="C113" s="13"/>
      <c r="D113" s="13">
        <v>3.4</v>
      </c>
      <c r="E113" s="13">
        <v>4.8</v>
      </c>
      <c r="F113" s="13">
        <v>15</v>
      </c>
      <c r="G113" s="42"/>
      <c r="H113" s="42"/>
      <c r="I113" s="13">
        <v>90</v>
      </c>
      <c r="J113" s="13">
        <v>90</v>
      </c>
      <c r="K113" s="11"/>
      <c r="L113" s="11"/>
      <c r="M113" s="11"/>
      <c r="N113" s="278" t="s">
        <v>664</v>
      </c>
      <c r="O113" s="270" t="s">
        <v>665</v>
      </c>
      <c r="P113" s="270" t="s">
        <v>666</v>
      </c>
      <c r="Q113" s="11" t="s">
        <v>522</v>
      </c>
      <c r="R113" s="11" t="s">
        <v>522</v>
      </c>
      <c r="S113" t="s">
        <v>402</v>
      </c>
      <c r="T113" t="s">
        <v>667</v>
      </c>
      <c r="U113" s="11" t="s">
        <v>186</v>
      </c>
      <c r="V113" s="11"/>
      <c r="W113" s="14">
        <v>24</v>
      </c>
      <c r="X113" s="11" t="s">
        <v>668</v>
      </c>
      <c r="Y113" s="11" t="s">
        <v>75</v>
      </c>
      <c r="Z113" s="11"/>
      <c r="AA113" t="s">
        <v>36</v>
      </c>
    </row>
    <row r="114" spans="1:27" ht="15" customHeight="1">
      <c r="A114" t="s">
        <v>669</v>
      </c>
      <c r="B114" s="13">
        <v>3.5</v>
      </c>
      <c r="C114" s="13"/>
      <c r="D114" s="13">
        <v>0</v>
      </c>
      <c r="E114" s="13"/>
      <c r="F114" s="13"/>
      <c r="G114" s="42"/>
      <c r="H114" s="42"/>
      <c r="I114" s="13"/>
      <c r="J114" s="13"/>
      <c r="K114" s="11"/>
      <c r="L114" s="11"/>
      <c r="M114" s="11"/>
      <c r="N114">
        <v>93989875581</v>
      </c>
      <c r="O114" s="16" t="s">
        <v>670</v>
      </c>
      <c r="P114" s="11"/>
      <c r="Q114" s="11" t="s">
        <v>208</v>
      </c>
      <c r="R114" s="11" t="s">
        <v>209</v>
      </c>
      <c r="S114" s="14" t="s">
        <v>88</v>
      </c>
      <c r="T114" s="14"/>
      <c r="U114" s="11"/>
      <c r="V114" s="11"/>
      <c r="W114" s="14"/>
      <c r="X114" s="11"/>
      <c r="Y114" s="11" t="s">
        <v>75</v>
      </c>
      <c r="Z114" s="11"/>
      <c r="AA114" t="s">
        <v>36</v>
      </c>
    </row>
    <row r="115" spans="1:27" ht="15" customHeight="1">
      <c r="A115" s="96" t="s">
        <v>671</v>
      </c>
      <c r="B115" s="13"/>
      <c r="C115" s="13"/>
      <c r="D115" s="13"/>
      <c r="E115" s="13"/>
      <c r="F115" s="13"/>
      <c r="G115" s="42"/>
      <c r="H115" s="42"/>
      <c r="I115" s="13"/>
      <c r="J115" s="13"/>
      <c r="K115" s="11"/>
      <c r="L115" s="11"/>
      <c r="M115" s="11"/>
      <c r="N115" s="14"/>
      <c r="O115" s="11"/>
      <c r="P115" s="11"/>
      <c r="Q115" s="11"/>
      <c r="R115" s="11"/>
      <c r="S115" s="14"/>
      <c r="T115" s="14"/>
      <c r="U115" s="11"/>
      <c r="V115" s="11"/>
      <c r="W115" s="14"/>
      <c r="X115" s="11"/>
      <c r="Y115" s="11" t="s">
        <v>75</v>
      </c>
      <c r="Z115" s="11"/>
      <c r="AA115" t="s">
        <v>36</v>
      </c>
    </row>
    <row r="116" spans="1:27" s="127" customFormat="1" ht="15" customHeight="1">
      <c r="A116" s="121" t="s">
        <v>672</v>
      </c>
      <c r="B116" s="122">
        <v>6</v>
      </c>
      <c r="C116" s="122">
        <v>2</v>
      </c>
      <c r="D116" s="122">
        <v>3</v>
      </c>
      <c r="E116" s="122">
        <v>15</v>
      </c>
      <c r="F116" s="122">
        <v>22</v>
      </c>
      <c r="G116" s="123"/>
      <c r="H116" s="123"/>
      <c r="I116" s="122">
        <v>60</v>
      </c>
      <c r="J116" s="122">
        <v>90</v>
      </c>
      <c r="K116" s="121"/>
      <c r="L116" s="121"/>
      <c r="M116" s="121"/>
      <c r="N116" s="127" t="s">
        <v>673</v>
      </c>
      <c r="O116" s="279" t="s">
        <v>674</v>
      </c>
      <c r="P116" s="127" t="s">
        <v>675</v>
      </c>
      <c r="Q116" s="121" t="s">
        <v>209</v>
      </c>
      <c r="R116" s="121" t="s">
        <v>209</v>
      </c>
      <c r="S116" s="124" t="s">
        <v>676</v>
      </c>
      <c r="T116" s="124" t="s">
        <v>677</v>
      </c>
      <c r="U116" s="121" t="s">
        <v>44</v>
      </c>
      <c r="V116" s="121"/>
      <c r="W116" s="124">
        <v>8.8000000000000007</v>
      </c>
      <c r="X116" s="121" t="s">
        <v>187</v>
      </c>
      <c r="Y116" s="121" t="s">
        <v>75</v>
      </c>
      <c r="Z116" s="121"/>
      <c r="AA116" s="127" t="s">
        <v>36</v>
      </c>
    </row>
    <row r="117" spans="1:27" s="127" customFormat="1" ht="15" customHeight="1">
      <c r="A117" s="121" t="s">
        <v>678</v>
      </c>
      <c r="B117" s="122">
        <v>2.6</v>
      </c>
      <c r="C117" s="122"/>
      <c r="D117" s="122">
        <v>2.6</v>
      </c>
      <c r="E117" s="122">
        <v>6</v>
      </c>
      <c r="F117" s="122">
        <v>9</v>
      </c>
      <c r="G117" s="123"/>
      <c r="H117" s="123"/>
      <c r="I117" s="122">
        <v>15</v>
      </c>
      <c r="J117" s="122">
        <v>30</v>
      </c>
      <c r="K117" s="121"/>
      <c r="L117" s="121"/>
      <c r="M117" s="121"/>
      <c r="N117" s="127" t="s">
        <v>679</v>
      </c>
      <c r="O117" s="279" t="s">
        <v>680</v>
      </c>
      <c r="P117" s="279" t="s">
        <v>681</v>
      </c>
      <c r="Q117" s="121" t="s">
        <v>209</v>
      </c>
      <c r="R117" s="121" t="s">
        <v>350</v>
      </c>
      <c r="S117" s="124" t="s">
        <v>676</v>
      </c>
      <c r="T117" s="124" t="s">
        <v>488</v>
      </c>
      <c r="U117" s="121" t="s">
        <v>44</v>
      </c>
      <c r="V117" s="121"/>
      <c r="W117" s="124">
        <v>24</v>
      </c>
      <c r="X117" s="121">
        <v>25</v>
      </c>
      <c r="Y117" s="121" t="s">
        <v>75</v>
      </c>
      <c r="Z117" s="121"/>
      <c r="AA117" s="127" t="s">
        <v>36</v>
      </c>
    </row>
    <row r="118" spans="1:27" s="136" customFormat="1" ht="15" customHeight="1">
      <c r="A118" s="130" t="s">
        <v>682</v>
      </c>
      <c r="B118" s="131">
        <v>5</v>
      </c>
      <c r="C118" s="131">
        <v>4</v>
      </c>
      <c r="D118" s="131">
        <v>0.2</v>
      </c>
      <c r="E118" s="131">
        <v>5</v>
      </c>
      <c r="F118" s="131">
        <v>12</v>
      </c>
      <c r="G118" s="132"/>
      <c r="H118" s="132" t="s">
        <v>57</v>
      </c>
      <c r="I118" s="131">
        <v>60</v>
      </c>
      <c r="J118" s="131">
        <v>60</v>
      </c>
      <c r="K118" s="130"/>
      <c r="L118" s="130"/>
      <c r="M118" s="130"/>
      <c r="N118" s="133">
        <v>7044104390</v>
      </c>
      <c r="O118" s="134" t="s">
        <v>683</v>
      </c>
      <c r="P118" s="134" t="s">
        <v>684</v>
      </c>
      <c r="Q118" s="130" t="s">
        <v>685</v>
      </c>
      <c r="R118" s="130" t="s">
        <v>686</v>
      </c>
      <c r="S118" s="133" t="s">
        <v>88</v>
      </c>
      <c r="T118" s="133" t="s">
        <v>687</v>
      </c>
      <c r="U118" s="130" t="s">
        <v>688</v>
      </c>
      <c r="V118" s="130"/>
      <c r="W118" s="133">
        <v>24</v>
      </c>
      <c r="X118" s="130" t="s">
        <v>212</v>
      </c>
      <c r="Y118" s="130" t="s">
        <v>57</v>
      </c>
      <c r="Z118" s="130"/>
      <c r="AA118" s="136" t="s">
        <v>36</v>
      </c>
    </row>
    <row r="119" spans="1:27" ht="15" customHeight="1">
      <c r="A119" s="11" t="s">
        <v>689</v>
      </c>
      <c r="B119" s="13">
        <v>6.5</v>
      </c>
      <c r="C119" s="13"/>
      <c r="D119" s="13">
        <v>5</v>
      </c>
      <c r="E119" s="13">
        <v>14</v>
      </c>
      <c r="F119" s="13">
        <v>21</v>
      </c>
      <c r="G119" s="42"/>
      <c r="H119" s="140" t="s">
        <v>91</v>
      </c>
      <c r="I119" s="13">
        <v>45</v>
      </c>
      <c r="J119" s="13">
        <v>60</v>
      </c>
      <c r="K119" s="11"/>
      <c r="L119" s="11"/>
      <c r="M119" s="11"/>
      <c r="N119" s="14">
        <v>8328064452</v>
      </c>
      <c r="O119" s="73" t="s">
        <v>690</v>
      </c>
      <c r="P119" s="73" t="s">
        <v>691</v>
      </c>
      <c r="Q119" s="11" t="s">
        <v>208</v>
      </c>
      <c r="R119" s="11" t="s">
        <v>209</v>
      </c>
      <c r="S119" s="14" t="s">
        <v>692</v>
      </c>
      <c r="T119" s="14" t="s">
        <v>165</v>
      </c>
      <c r="U119" s="11" t="s">
        <v>525</v>
      </c>
      <c r="V119" s="11"/>
      <c r="W119" s="14">
        <v>25</v>
      </c>
      <c r="X119" s="11" t="s">
        <v>602</v>
      </c>
      <c r="Y119" s="11" t="s">
        <v>75</v>
      </c>
      <c r="Z119" s="11"/>
      <c r="AA119" t="s">
        <v>36</v>
      </c>
    </row>
    <row r="120" spans="1:27" ht="15" customHeight="1">
      <c r="A120" s="11" t="s">
        <v>693</v>
      </c>
      <c r="B120" s="13">
        <v>4.4000000000000004</v>
      </c>
      <c r="C120" s="13"/>
      <c r="D120" s="13">
        <v>4</v>
      </c>
      <c r="E120" s="13">
        <v>7.2</v>
      </c>
      <c r="F120" s="13">
        <v>16</v>
      </c>
      <c r="G120" s="42"/>
      <c r="H120" s="42" t="s">
        <v>494</v>
      </c>
      <c r="I120" s="13">
        <v>45</v>
      </c>
      <c r="J120" s="13">
        <v>90</v>
      </c>
      <c r="K120" s="11"/>
      <c r="L120" s="11"/>
      <c r="M120" s="11"/>
      <c r="N120">
        <v>9951924042</v>
      </c>
      <c r="O120" s="16" t="s">
        <v>694</v>
      </c>
      <c r="P120" s="16" t="s">
        <v>695</v>
      </c>
      <c r="Q120" s="11" t="s">
        <v>209</v>
      </c>
      <c r="R120" s="11" t="s">
        <v>696</v>
      </c>
      <c r="S120" s="14"/>
      <c r="T120" s="14" t="s">
        <v>165</v>
      </c>
      <c r="U120" s="11" t="s">
        <v>186</v>
      </c>
      <c r="V120" s="11"/>
      <c r="W120" s="14">
        <v>23.1</v>
      </c>
      <c r="X120" s="11" t="s">
        <v>261</v>
      </c>
      <c r="Y120" s="11" t="s">
        <v>75</v>
      </c>
      <c r="Z120" s="11"/>
      <c r="AA120" t="s">
        <v>36</v>
      </c>
    </row>
    <row r="121" spans="1:27" ht="15" customHeight="1">
      <c r="A121" s="96" t="s">
        <v>697</v>
      </c>
      <c r="B121" s="13">
        <v>2.4</v>
      </c>
      <c r="C121" s="13"/>
      <c r="D121" s="13">
        <v>2.4</v>
      </c>
      <c r="E121" s="13"/>
      <c r="F121" s="13"/>
      <c r="G121" s="42"/>
      <c r="H121" s="42"/>
      <c r="I121" s="13" t="s">
        <v>148</v>
      </c>
      <c r="J121" s="13" t="s">
        <v>148</v>
      </c>
      <c r="K121" s="11"/>
      <c r="L121" s="11"/>
      <c r="M121" s="11"/>
      <c r="N121" s="14"/>
      <c r="O121" s="11"/>
      <c r="P121" s="11"/>
      <c r="Q121" s="11"/>
      <c r="R121" s="11"/>
      <c r="S121" s="14"/>
      <c r="T121" s="14"/>
      <c r="U121" s="11"/>
      <c r="V121" s="11"/>
      <c r="W121" s="14">
        <v>8.8000000000000007</v>
      </c>
      <c r="X121" s="11"/>
      <c r="Y121" s="11" t="s">
        <v>75</v>
      </c>
      <c r="Z121" s="11"/>
    </row>
    <row r="122" spans="1:27" ht="15" customHeight="1">
      <c r="A122" s="11" t="s">
        <v>698</v>
      </c>
      <c r="B122" s="13">
        <v>3</v>
      </c>
      <c r="C122" s="13"/>
      <c r="D122" s="13">
        <v>3</v>
      </c>
      <c r="E122" s="13">
        <v>10</v>
      </c>
      <c r="F122" s="13">
        <v>14</v>
      </c>
      <c r="G122" s="42"/>
      <c r="H122" s="42"/>
      <c r="I122" s="13" t="s">
        <v>148</v>
      </c>
      <c r="J122" s="13" t="s">
        <v>699</v>
      </c>
      <c r="K122" s="11"/>
      <c r="L122" s="11"/>
      <c r="M122" s="11"/>
      <c r="N122">
        <v>9676723263</v>
      </c>
      <c r="O122" s="16" t="s">
        <v>700</v>
      </c>
      <c r="P122" s="11"/>
      <c r="Q122" s="11" t="s">
        <v>209</v>
      </c>
      <c r="R122" s="11" t="s">
        <v>701</v>
      </c>
      <c r="S122" s="14" t="s">
        <v>702</v>
      </c>
      <c r="T122" s="14" t="s">
        <v>703</v>
      </c>
      <c r="U122" s="11" t="s">
        <v>44</v>
      </c>
      <c r="V122" s="11"/>
      <c r="W122" s="14">
        <v>8.8000000000000007</v>
      </c>
      <c r="X122" s="11" t="s">
        <v>704</v>
      </c>
      <c r="Y122" s="11" t="s">
        <v>77</v>
      </c>
      <c r="Z122" s="11"/>
    </row>
    <row r="123" spans="1:27" ht="15" customHeight="1">
      <c r="A123" s="96" t="s">
        <v>705</v>
      </c>
      <c r="B123" s="13">
        <v>4.7</v>
      </c>
      <c r="C123" s="13"/>
      <c r="D123" s="13">
        <v>4.7</v>
      </c>
      <c r="E123" s="13">
        <v>4.5</v>
      </c>
      <c r="F123" s="13">
        <v>12</v>
      </c>
      <c r="G123" s="42"/>
      <c r="H123" s="42"/>
      <c r="I123" s="13">
        <v>90</v>
      </c>
      <c r="J123" s="13">
        <v>90</v>
      </c>
      <c r="K123" s="11"/>
      <c r="L123" s="11"/>
      <c r="M123" s="11"/>
      <c r="N123">
        <v>7382435872</v>
      </c>
      <c r="O123" s="16" t="s">
        <v>706</v>
      </c>
      <c r="P123" s="11"/>
      <c r="Q123" s="11" t="s">
        <v>209</v>
      </c>
      <c r="R123" s="11" t="s">
        <v>209</v>
      </c>
      <c r="S123" s="14" t="s">
        <v>88</v>
      </c>
      <c r="T123" s="14" t="s">
        <v>436</v>
      </c>
      <c r="U123" s="11" t="s">
        <v>186</v>
      </c>
      <c r="V123" s="11"/>
      <c r="W123" s="14">
        <v>8.8000000000000007</v>
      </c>
      <c r="X123" s="11" t="s">
        <v>707</v>
      </c>
      <c r="Y123" s="11"/>
      <c r="Z123" s="11"/>
    </row>
    <row r="124" spans="1:27" ht="15" customHeight="1">
      <c r="A124" s="96"/>
      <c r="B124" s="13"/>
      <c r="C124" s="13"/>
      <c r="D124" s="13"/>
      <c r="E124" s="13"/>
      <c r="F124" s="13"/>
      <c r="G124" s="42"/>
      <c r="H124" s="42"/>
      <c r="I124" s="13"/>
      <c r="J124" s="13"/>
      <c r="K124" s="11"/>
      <c r="L124" s="11"/>
      <c r="M124" s="11"/>
      <c r="N124" s="14"/>
      <c r="O124" s="11"/>
      <c r="P124" s="11"/>
      <c r="Q124" s="11"/>
      <c r="R124" s="11"/>
      <c r="S124" s="14"/>
      <c r="T124" s="14"/>
      <c r="U124" s="11"/>
      <c r="V124" s="11"/>
      <c r="W124" s="14"/>
      <c r="X124" s="11"/>
      <c r="Y124" s="11"/>
      <c r="Z124" s="11"/>
    </row>
    <row r="125" spans="1:27" ht="15" customHeight="1">
      <c r="A125" s="96"/>
      <c r="B125" s="13"/>
      <c r="C125" s="13"/>
      <c r="D125" s="13"/>
      <c r="E125" s="13"/>
      <c r="F125" s="13"/>
      <c r="G125" s="42"/>
      <c r="H125" s="42"/>
      <c r="I125" s="13"/>
      <c r="J125" s="13"/>
      <c r="K125" s="11"/>
      <c r="L125" s="11"/>
      <c r="M125" s="11"/>
      <c r="N125" s="14"/>
      <c r="O125" s="11"/>
      <c r="P125" s="11"/>
      <c r="Q125" s="11"/>
      <c r="R125" s="11"/>
      <c r="S125" s="14"/>
      <c r="T125" s="14"/>
      <c r="U125" s="11"/>
      <c r="V125" s="11"/>
      <c r="W125" s="14"/>
      <c r="X125" s="11"/>
      <c r="Y125" s="11"/>
      <c r="Z125" s="11"/>
    </row>
    <row r="126" spans="1:27" ht="15" customHeight="1">
      <c r="A126" s="96"/>
      <c r="B126" s="13"/>
      <c r="C126" s="13"/>
      <c r="D126" s="13"/>
      <c r="E126" s="13"/>
      <c r="F126" s="13"/>
      <c r="G126" s="42"/>
      <c r="H126" s="42"/>
      <c r="I126" s="13"/>
      <c r="J126" s="13"/>
      <c r="K126" s="11"/>
      <c r="L126" s="11"/>
      <c r="M126" s="11"/>
      <c r="N126" s="14"/>
      <c r="O126" s="11"/>
      <c r="P126" s="11"/>
      <c r="Q126" s="11"/>
      <c r="R126" s="11"/>
      <c r="S126" s="14"/>
      <c r="T126" s="14"/>
      <c r="U126" s="11"/>
      <c r="V126" s="11"/>
      <c r="W126" s="14"/>
      <c r="X126" s="11"/>
      <c r="Y126" s="11"/>
      <c r="Z126" s="11"/>
    </row>
    <row r="127" spans="1:27" ht="15" customHeight="1">
      <c r="A127" s="96"/>
      <c r="B127" s="13"/>
      <c r="C127" s="13"/>
      <c r="D127" s="13"/>
      <c r="E127" s="13"/>
      <c r="F127" s="13"/>
      <c r="G127" s="42"/>
      <c r="H127" s="42"/>
      <c r="I127" s="13"/>
      <c r="J127" s="13"/>
      <c r="K127" s="11"/>
      <c r="L127" s="11"/>
      <c r="M127" s="11"/>
      <c r="N127" s="14"/>
      <c r="O127" s="11"/>
      <c r="P127" s="11"/>
      <c r="Q127" s="11"/>
      <c r="R127" s="11"/>
      <c r="S127" s="14"/>
      <c r="T127" s="14"/>
      <c r="U127" s="11"/>
      <c r="V127" s="11"/>
      <c r="W127" s="14"/>
      <c r="X127" s="11"/>
      <c r="Y127" s="11"/>
      <c r="Z127" s="11"/>
    </row>
    <row r="128" spans="1:27" ht="15" customHeight="1">
      <c r="A128" s="96"/>
      <c r="B128" s="13"/>
      <c r="C128" s="13"/>
      <c r="D128" s="13"/>
      <c r="E128" s="13"/>
      <c r="F128" s="13"/>
      <c r="G128" s="42"/>
      <c r="H128" s="42"/>
      <c r="I128" s="13"/>
      <c r="J128" s="13"/>
      <c r="K128" s="11"/>
      <c r="L128" s="11"/>
      <c r="M128" s="11"/>
      <c r="N128" s="14"/>
      <c r="O128" s="11"/>
      <c r="P128" s="11"/>
      <c r="Q128" s="11"/>
      <c r="R128" s="11"/>
      <c r="S128" s="14"/>
      <c r="T128" s="14"/>
      <c r="U128" s="11"/>
      <c r="V128" s="11"/>
      <c r="W128" s="14"/>
      <c r="X128" s="11"/>
      <c r="Y128" s="11"/>
      <c r="Z128" s="11"/>
    </row>
    <row r="129" spans="1:26" ht="15" customHeight="1">
      <c r="A129" s="96"/>
      <c r="B129" s="13"/>
      <c r="C129" s="13"/>
      <c r="D129" s="13"/>
      <c r="E129" s="13"/>
      <c r="F129" s="13"/>
      <c r="G129" s="42"/>
      <c r="H129" s="42"/>
      <c r="I129" s="13"/>
      <c r="J129" s="13"/>
      <c r="K129" s="11"/>
      <c r="L129" s="11"/>
      <c r="M129" s="11"/>
      <c r="N129" s="14"/>
      <c r="O129" s="11"/>
      <c r="P129" s="11"/>
      <c r="Q129" s="11"/>
      <c r="R129" s="11"/>
      <c r="S129" s="14"/>
      <c r="T129" s="14"/>
      <c r="U129" s="11"/>
      <c r="V129" s="11"/>
      <c r="W129" s="14"/>
      <c r="X129" s="11"/>
      <c r="Y129" s="11"/>
      <c r="Z129" s="11"/>
    </row>
    <row r="130" spans="1:26" ht="15" customHeight="1">
      <c r="A130" s="96"/>
      <c r="B130" s="13"/>
      <c r="C130" s="13"/>
      <c r="D130" s="13"/>
      <c r="E130" s="13"/>
      <c r="F130" s="13"/>
      <c r="G130" s="42"/>
      <c r="H130" s="42"/>
      <c r="I130" s="13"/>
      <c r="J130" s="13"/>
      <c r="K130" s="11"/>
      <c r="L130" s="11"/>
      <c r="M130" s="11"/>
      <c r="N130" s="14"/>
      <c r="O130" s="11"/>
      <c r="P130" s="11"/>
      <c r="Q130" s="11"/>
      <c r="R130" s="11"/>
      <c r="S130" s="14"/>
      <c r="T130" s="14"/>
      <c r="U130" s="11"/>
      <c r="V130" s="11"/>
      <c r="W130" s="14"/>
      <c r="X130" s="11"/>
      <c r="Y130" s="11"/>
      <c r="Z130" s="11"/>
    </row>
    <row r="131" spans="1:26" ht="15" customHeight="1">
      <c r="A131" s="96"/>
      <c r="B131" s="13"/>
      <c r="C131" s="13"/>
      <c r="D131" s="13"/>
      <c r="E131" s="13"/>
      <c r="F131" s="13"/>
      <c r="G131" s="42"/>
      <c r="H131" s="42"/>
      <c r="I131" s="13"/>
      <c r="J131" s="13"/>
      <c r="K131" s="11"/>
      <c r="L131" s="11"/>
      <c r="M131" s="11"/>
      <c r="N131" s="14"/>
      <c r="O131" s="11"/>
      <c r="P131" s="11"/>
      <c r="Q131" s="11"/>
      <c r="R131" s="11"/>
      <c r="S131" s="14"/>
      <c r="T131" s="14"/>
      <c r="U131" s="11"/>
      <c r="V131" s="11"/>
      <c r="W131" s="14"/>
      <c r="X131" s="11"/>
      <c r="Y131" s="11"/>
      <c r="Z131" s="11"/>
    </row>
    <row r="132" spans="1:26" ht="15" customHeight="1">
      <c r="A132" s="96"/>
      <c r="B132" s="13"/>
      <c r="C132" s="13"/>
      <c r="D132" s="13"/>
      <c r="E132" s="13"/>
      <c r="F132" s="13"/>
      <c r="G132" s="42"/>
      <c r="H132" s="42"/>
      <c r="I132" s="13"/>
      <c r="J132" s="13"/>
      <c r="K132" s="11"/>
      <c r="L132" s="11"/>
      <c r="M132" s="11"/>
      <c r="N132" s="14"/>
      <c r="O132" s="11"/>
      <c r="P132" s="11"/>
      <c r="Q132" s="11"/>
      <c r="R132" s="11"/>
      <c r="S132" s="14"/>
      <c r="T132" s="14"/>
      <c r="U132" s="11"/>
      <c r="V132" s="11"/>
      <c r="W132" s="14"/>
      <c r="X132" s="11"/>
      <c r="Y132" s="11"/>
      <c r="Z132" s="11"/>
    </row>
    <row r="133" spans="1:26" ht="15" customHeight="1">
      <c r="A133" s="96"/>
      <c r="B133" s="13"/>
      <c r="C133" s="13"/>
      <c r="D133" s="13"/>
      <c r="E133" s="13"/>
      <c r="F133" s="13"/>
      <c r="G133" s="42"/>
      <c r="H133" s="42"/>
      <c r="I133" s="13"/>
      <c r="J133" s="13"/>
      <c r="K133" s="11"/>
      <c r="L133" s="11"/>
      <c r="M133" s="11"/>
      <c r="N133" s="14"/>
      <c r="O133" s="11"/>
      <c r="P133" s="11"/>
      <c r="Q133" s="11"/>
      <c r="R133" s="11"/>
      <c r="S133" s="14"/>
      <c r="T133" s="14"/>
      <c r="U133" s="11"/>
      <c r="V133" s="11"/>
      <c r="W133" s="14"/>
      <c r="X133" s="11"/>
      <c r="Y133" s="11"/>
      <c r="Z133" s="11"/>
    </row>
    <row r="134" spans="1:26" ht="15" customHeight="1">
      <c r="A134" s="96"/>
      <c r="B134" s="13"/>
      <c r="C134" s="13"/>
      <c r="D134" s="13"/>
      <c r="E134" s="13"/>
      <c r="F134" s="13"/>
      <c r="G134" s="42"/>
      <c r="H134" s="42"/>
      <c r="I134" s="13"/>
      <c r="J134" s="13"/>
      <c r="K134" s="11"/>
      <c r="L134" s="11"/>
      <c r="M134" s="11"/>
      <c r="N134" s="14"/>
      <c r="O134" s="11"/>
      <c r="P134" s="11"/>
      <c r="Q134" s="11"/>
      <c r="R134" s="11"/>
      <c r="S134" s="14"/>
      <c r="T134" s="14"/>
      <c r="U134" s="11"/>
      <c r="V134" s="11"/>
      <c r="W134" s="14"/>
      <c r="X134" s="11"/>
      <c r="Y134" s="11"/>
      <c r="Z134" s="11"/>
    </row>
    <row r="135" spans="1:26" ht="15" customHeight="1">
      <c r="A135" s="96"/>
      <c r="B135" s="13"/>
      <c r="C135" s="13"/>
      <c r="D135" s="13"/>
      <c r="E135" s="13"/>
      <c r="F135" s="13"/>
      <c r="G135" s="42"/>
      <c r="H135" s="42"/>
      <c r="I135" s="13"/>
      <c r="J135" s="13"/>
      <c r="K135" s="11"/>
      <c r="L135" s="11"/>
      <c r="M135" s="11"/>
      <c r="N135" s="14"/>
      <c r="O135" s="11"/>
      <c r="P135" s="11"/>
      <c r="Q135" s="11"/>
      <c r="R135" s="11"/>
      <c r="S135" s="14"/>
      <c r="T135" s="14"/>
      <c r="U135" s="11"/>
      <c r="V135" s="11"/>
      <c r="W135" s="14"/>
      <c r="X135" s="11"/>
      <c r="Y135" s="11"/>
      <c r="Z135" s="11"/>
    </row>
    <row r="136" spans="1:26" ht="15" customHeight="1">
      <c r="A136" s="96"/>
      <c r="B136" s="13"/>
      <c r="C136" s="13"/>
      <c r="D136" s="13"/>
      <c r="E136" s="13"/>
      <c r="F136" s="13"/>
      <c r="G136" s="42"/>
      <c r="H136" s="42"/>
      <c r="I136" s="13"/>
      <c r="J136" s="13"/>
      <c r="K136" s="11"/>
      <c r="L136" s="11"/>
      <c r="M136" s="11"/>
      <c r="N136" s="14"/>
      <c r="O136" s="11"/>
      <c r="P136" s="11"/>
      <c r="Q136" s="11"/>
      <c r="R136" s="11"/>
      <c r="S136" s="14"/>
      <c r="T136" s="14"/>
      <c r="U136" s="11"/>
      <c r="V136" s="11"/>
      <c r="W136" s="14"/>
      <c r="X136" s="11"/>
      <c r="Y136" s="11"/>
      <c r="Z136" s="11"/>
    </row>
    <row r="137" spans="1:26" ht="15" customHeight="1">
      <c r="A137" s="96"/>
      <c r="B137" s="13"/>
      <c r="C137" s="13"/>
      <c r="D137" s="13"/>
      <c r="E137" s="13"/>
      <c r="F137" s="13"/>
      <c r="G137" s="42"/>
      <c r="H137" s="42"/>
      <c r="I137" s="13"/>
      <c r="J137" s="13"/>
      <c r="K137" s="11"/>
      <c r="L137" s="11"/>
      <c r="M137" s="11"/>
      <c r="N137" s="14"/>
      <c r="O137" s="11"/>
      <c r="P137" s="11"/>
      <c r="Q137" s="11"/>
      <c r="R137" s="11"/>
      <c r="S137" s="14"/>
      <c r="T137" s="14"/>
      <c r="U137" s="11"/>
      <c r="V137" s="11"/>
      <c r="W137" s="14"/>
      <c r="X137" s="11"/>
      <c r="Y137" s="11"/>
      <c r="Z137" s="11"/>
    </row>
    <row r="138" spans="1:26" ht="15" customHeight="1">
      <c r="A138" s="96"/>
      <c r="B138" s="13"/>
      <c r="C138" s="13"/>
      <c r="D138" s="13"/>
      <c r="E138" s="13"/>
      <c r="F138" s="13"/>
      <c r="G138" s="42"/>
      <c r="H138" s="42"/>
      <c r="I138" s="13"/>
      <c r="J138" s="13"/>
      <c r="K138" s="11"/>
      <c r="L138" s="11"/>
      <c r="M138" s="11"/>
      <c r="N138" s="14"/>
      <c r="O138" s="11"/>
      <c r="P138" s="11"/>
      <c r="Q138" s="11"/>
      <c r="R138" s="11"/>
      <c r="S138" s="14"/>
      <c r="T138" s="14"/>
      <c r="U138" s="11"/>
      <c r="V138" s="11"/>
      <c r="W138" s="14"/>
      <c r="X138" s="11"/>
      <c r="Y138" s="11"/>
      <c r="Z138" s="11"/>
    </row>
    <row r="139" spans="1:26" ht="15" customHeight="1">
      <c r="A139" s="96"/>
      <c r="B139" s="13"/>
      <c r="C139" s="13"/>
      <c r="D139" s="13"/>
      <c r="E139" s="13"/>
      <c r="F139" s="13"/>
      <c r="G139" s="42"/>
      <c r="H139" s="42"/>
      <c r="I139" s="13"/>
      <c r="J139" s="13"/>
      <c r="K139" s="11"/>
      <c r="L139" s="11"/>
      <c r="M139" s="11"/>
      <c r="N139" s="14"/>
      <c r="O139" s="11"/>
      <c r="P139" s="11"/>
      <c r="Q139" s="11"/>
      <c r="R139" s="11"/>
      <c r="S139" s="14"/>
      <c r="T139" s="14"/>
      <c r="U139" s="11"/>
      <c r="V139" s="11"/>
      <c r="W139" s="14"/>
      <c r="X139" s="11"/>
      <c r="Y139" s="11"/>
      <c r="Z139" s="11"/>
    </row>
    <row r="140" spans="1:26" ht="15" customHeight="1">
      <c r="A140" s="11"/>
      <c r="B140" s="13"/>
      <c r="C140" s="13"/>
      <c r="D140" s="13"/>
      <c r="E140" s="13"/>
      <c r="F140" s="13" t="s">
        <v>708</v>
      </c>
      <c r="G140" s="42"/>
      <c r="H140" s="42"/>
      <c r="I140" s="13"/>
      <c r="J140" s="13"/>
      <c r="K140" s="11"/>
      <c r="L140" s="11"/>
      <c r="M140" s="11"/>
      <c r="N140" s="14"/>
      <c r="O140" s="11"/>
      <c r="P140" s="11"/>
      <c r="Q140" s="11"/>
      <c r="R140" s="11"/>
      <c r="S140" s="14"/>
      <c r="T140" s="14"/>
      <c r="U140" s="11"/>
      <c r="V140" s="11"/>
      <c r="W140" s="14"/>
      <c r="X140" s="11"/>
      <c r="Y140" s="11"/>
      <c r="Z140" s="11"/>
    </row>
  </sheetData>
  <autoFilter ref="A1:AE123" xr:uid="{00000000-0001-0000-0000-000000000000}"/>
  <hyperlinks>
    <hyperlink ref="A9" r:id="rId1" xr:uid="{686D0EA1-FDF9-423C-9F65-15E83BC178F6}"/>
    <hyperlink ref="A85" r:id="rId2" xr:uid="{44589544-585A-4282-9246-06CA5AAC96F6}"/>
    <hyperlink ref="P120" r:id="rId3" xr:uid="{3538AECF-67AD-49E4-8D75-3587AFD83026}"/>
    <hyperlink ref="P110" r:id="rId4" xr:uid="{DDA5D100-932F-486E-8308-4C5BF142236F}"/>
    <hyperlink ref="P24" r:id="rId5" xr:uid="{329B844D-BAED-40EE-BD0E-A119618E5708}"/>
    <hyperlink ref="P104" r:id="rId6" xr:uid="{55D80B98-0675-408B-BCC4-A306350F0D9E}"/>
    <hyperlink ref="P108" r:id="rId7" xr:uid="{DE94C721-12CF-4F9D-9F6B-9585259855BD}"/>
    <hyperlink ref="P96" r:id="rId8" xr:uid="{34A22CC6-6E7B-440C-B5BD-0F7F7D63F995}"/>
    <hyperlink ref="P89" r:id="rId9" xr:uid="{FE69ACF0-580B-4944-A507-8EE02B0982A6}"/>
    <hyperlink ref="P118" r:id="rId10" xr:uid="{F1AE8D28-B5B3-453B-919E-48D58511D75C}"/>
    <hyperlink ref="P119" r:id="rId11" xr:uid="{52ECBB39-0974-4213-8C01-0B671FEEAC9A}"/>
    <hyperlink ref="P56" r:id="rId12" xr:uid="{E233CBB0-601A-45F4-956F-30DBB37860D5}"/>
    <hyperlink ref="P117" r:id="rId13" xr:uid="{D931487D-3502-4166-AA25-B03D6B5E9105}"/>
    <hyperlink ref="P113" r:id="rId14" xr:uid="{8BEEF031-6CC9-45DC-B467-E60E621D703B}"/>
    <hyperlink ref="P103" r:id="rId15" xr:uid="{F9D035EC-9735-4F02-85F0-5748724E6CD6}"/>
    <hyperlink ref="P102" r:id="rId16" xr:uid="{557CA99C-6670-4070-AE1D-40F75B4F4FAC}"/>
    <hyperlink ref="P85" r:id="rId17" xr:uid="{077D8041-4383-4B15-B701-9FD47B37C216}"/>
    <hyperlink ref="P95" r:id="rId18" xr:uid="{0E6A8881-0523-4E74-B39D-0F0943BBA91E}"/>
    <hyperlink ref="P93" r:id="rId19" xr:uid="{06DDF318-59B6-43B7-91CE-3447EB5FD400}"/>
    <hyperlink ref="P21" r:id="rId20" xr:uid="{07AA225A-70AC-40BC-9FD8-C807EA893C11}"/>
    <hyperlink ref="P83" r:id="rId21" xr:uid="{128CD4E5-0388-462A-B8C6-B1A1680E3FD1}"/>
    <hyperlink ref="P87" r:id="rId22" xr:uid="{1CCF5203-1CB8-44C8-9555-0C37888DF933}"/>
    <hyperlink ref="P19" r:id="rId23" xr:uid="{2DAF2E54-9849-4D26-B801-69E9D14EB79B}"/>
    <hyperlink ref="P80" r:id="rId24" xr:uid="{B8FCB759-B40E-4A87-800B-D32B59641AEA}"/>
    <hyperlink ref="P22" r:id="rId25" xr:uid="{ED13F27D-4ACC-4C09-A027-78693C6D5A12}"/>
    <hyperlink ref="P35" r:id="rId26" xr:uid="{ADB81824-D699-44EE-91F4-BA81210E3739}"/>
    <hyperlink ref="P23" r:id="rId27" xr:uid="{346C7C07-0B7D-40BF-9E34-4847EEEDF4DB}"/>
    <hyperlink ref="P77" r:id="rId28" xr:uid="{7C2E99ED-CFE2-400C-B873-BD597451E5D8}"/>
    <hyperlink ref="P36" r:id="rId29" xr:uid="{372D7186-B462-4AB2-97C5-DB4410761C8E}"/>
    <hyperlink ref="P73" r:id="rId30" xr:uid="{FD16209F-2334-401B-9D10-A6B9C1B18569}"/>
    <hyperlink ref="P13" r:id="rId31" xr:uid="{BE5F1D01-0E36-4F94-AE16-5995ADCD3047}"/>
    <hyperlink ref="P10" r:id="rId32" xr:uid="{9C9762AE-F5EA-46E6-80EB-0A84CACCC9B3}"/>
    <hyperlink ref="P38" r:id="rId33" xr:uid="{674FBDBE-1D2C-4442-938C-06A30F7CCB2B}"/>
    <hyperlink ref="P25" r:id="rId34" xr:uid="{1E68058C-A5D3-4753-8EA3-488DC9C27D52}"/>
    <hyperlink ref="P3" r:id="rId35" xr:uid="{567B752A-E501-4FD8-8089-7279A35D4A2E}"/>
    <hyperlink ref="P18" r:id="rId36" xr:uid="{D243A867-A393-4DAB-8C13-DA37A5A4C0E1}"/>
    <hyperlink ref="P16" r:id="rId37" xr:uid="{8B6E2F09-B233-4584-BF94-79393F6E489D}"/>
    <hyperlink ref="P84" r:id="rId38" xr:uid="{3A0A11A0-7BA8-4088-A919-63A077BB693A}"/>
    <hyperlink ref="P75" r:id="rId39" xr:uid="{86A6C65B-5EC1-49AD-B03D-44ABA84674E3}"/>
    <hyperlink ref="P9" r:id="rId40" xr:uid="{342F3783-DCD2-4478-A266-89A4D3616348}"/>
    <hyperlink ref="P66" r:id="rId41" xr:uid="{46FD28A0-9417-4CC0-9914-E3228B5BFE21}"/>
    <hyperlink ref="P54" r:id="rId42" xr:uid="{6D68768D-4898-44F5-85C4-764235A53CC7}"/>
    <hyperlink ref="P64" r:id="rId43" xr:uid="{EA984072-8CF1-478F-8ADD-D9EEEFA49B50}"/>
    <hyperlink ref="P67" r:id="rId44" xr:uid="{BEC65BB3-746E-47E5-BE8B-4B468341BDA4}"/>
    <hyperlink ref="P68" r:id="rId45" xr:uid="{29256923-ECF1-4451-A01B-AD112A47C903}"/>
    <hyperlink ref="P60" r:id="rId46" xr:uid="{3C432D23-79A5-4966-A152-0433C1462513}"/>
    <hyperlink ref="P51" r:id="rId47" xr:uid="{2014991A-D76A-4E27-ACDC-5FE5DA41E8BC}"/>
    <hyperlink ref="P81" r:id="rId48" xr:uid="{3E29AC80-C114-4CB3-9642-9889BC1ABF38}"/>
    <hyperlink ref="P69" r:id="rId49" xr:uid="{CDBF12EC-4437-4F84-BDBF-82319EEB67C4}"/>
    <hyperlink ref="P44" r:id="rId50" display="https://www.linkedin.com/in/srikanthkoduru/" xr:uid="{7727E27D-CF60-44E9-85C2-2022DD7D1676}"/>
    <hyperlink ref="P43" r:id="rId51" xr:uid="{11E7DDEC-BC43-4025-8C2E-48E62BDA51AA}"/>
    <hyperlink ref="P42" r:id="rId52" xr:uid="{D24733C2-2C11-42DF-9582-7005A88B0995}"/>
    <hyperlink ref="P41" r:id="rId53" xr:uid="{16D9172D-B5EC-4ABC-B67A-438BC48284EC}"/>
    <hyperlink ref="P39" r:id="rId54" xr:uid="{091A9792-A1E6-41C6-BD04-1E0509679BE8}"/>
    <hyperlink ref="P79" r:id="rId55" xr:uid="{0FA8381E-F2F3-48E2-A208-DE8A3F4C85DC}"/>
    <hyperlink ref="P37" r:id="rId56" xr:uid="{62583F4F-CAE5-483A-BFFF-BFC706896FA0}"/>
    <hyperlink ref="P33" r:id="rId57" xr:uid="{8C1292E4-0D5E-4EBE-805E-418A316C1C59}"/>
    <hyperlink ref="P50" r:id="rId58" xr:uid="{41342811-83E3-4AFD-BF8A-43EFD27B040B}"/>
    <hyperlink ref="P14" r:id="rId59" xr:uid="{2F87004F-84B2-44D9-A6C0-A1D54EBC776A}"/>
    <hyperlink ref="P28" r:id="rId60" xr:uid="{590ECA30-6C5B-4333-A67D-62A553B32406}"/>
    <hyperlink ref="P27" r:id="rId61" xr:uid="{BA7F4486-D523-407F-9CFF-58099595B1CD}"/>
    <hyperlink ref="P71" r:id="rId62" xr:uid="{F1A856B6-D319-4155-A3D1-D24ADEC672C3}"/>
    <hyperlink ref="P49" r:id="rId63" xr:uid="{EFC5174D-47ED-49CD-A5E0-C9C45CB6FD64}"/>
    <hyperlink ref="P30" r:id="rId64" xr:uid="{1B833183-2979-47F0-8E85-DF283C6F7DBD}"/>
    <hyperlink ref="P20" r:id="rId65" xr:uid="{4EAA0753-9C98-481B-8672-12302C1D233F}"/>
    <hyperlink ref="P70" r:id="rId66" xr:uid="{029421CA-9549-478E-83B2-A4043FD1279F}"/>
    <hyperlink ref="P17" r:id="rId67" xr:uid="{63399820-985F-4F9B-8EE2-5C3007849A7E}"/>
    <hyperlink ref="P31" r:id="rId68" xr:uid="{5E733838-FE54-49D9-A724-774EAE464C93}"/>
    <hyperlink ref="P8" r:id="rId69" xr:uid="{6478D049-D59A-4599-A701-35B04EF02EA7}"/>
    <hyperlink ref="P109" r:id="rId70" xr:uid="{292149ED-D1C1-43C6-8DDF-BC238EB626A7}"/>
    <hyperlink ref="O120" r:id="rId71" xr:uid="{5D4A70DB-964A-49B4-A2A3-2B68540A5354}"/>
    <hyperlink ref="O114" r:id="rId72" xr:uid="{1D6E40A5-3803-4B81-A9D2-D4E55AADE55F}"/>
    <hyperlink ref="O112" r:id="rId73" xr:uid="{85437CCB-3BA0-470B-A4B2-B638BCBD078C}"/>
    <hyperlink ref="O104" r:id="rId74" xr:uid="{D236F706-B71B-4C60-92BD-D0BAB2EAA9DF}"/>
    <hyperlink ref="O101" r:id="rId75" xr:uid="{7BB74E89-0143-4A9F-B42C-FF959E7C6B88}"/>
    <hyperlink ref="O100" r:id="rId76" xr:uid="{211A37FF-9E10-420F-9B80-DDC8DF725F1D}"/>
    <hyperlink ref="O106" r:id="rId77" xr:uid="{D5733A74-B7EB-4261-9865-8AF24B78580F}"/>
    <hyperlink ref="O110" r:id="rId78" xr:uid="{B78DC12A-7609-44DA-883F-399E7E4F2DFD}"/>
    <hyperlink ref="O96" r:id="rId79" xr:uid="{D3C17C09-548F-461A-94F5-9EB9A269D30C}"/>
    <hyperlink ref="O89" r:id="rId80" xr:uid="{2BBD6204-55E1-4BBE-9A20-E8824B9DF18A}"/>
    <hyperlink ref="O118" r:id="rId81" xr:uid="{C643D718-5C98-451F-BE24-EC5BA90284C5}"/>
    <hyperlink ref="O119" r:id="rId82" xr:uid="{CE479B14-FA9F-4DB6-8D98-7B054B062FE6}"/>
    <hyperlink ref="O117" r:id="rId83" xr:uid="{48B35E4A-65C4-4D4D-895D-1C97D1DC86BA}"/>
    <hyperlink ref="O103" r:id="rId84" xr:uid="{D363667C-A6D4-49C5-8A8F-A848660E7049}"/>
    <hyperlink ref="O102" r:id="rId85" xr:uid="{2AF56696-CD80-439C-975D-33BC7E3640A1}"/>
    <hyperlink ref="O116" r:id="rId86" xr:uid="{0EE37FAA-202D-4C1A-8BDC-C089A3BCAC1D}"/>
    <hyperlink ref="O105" r:id="rId87" xr:uid="{E896D49F-9AD9-450B-9F75-58424290E670}"/>
    <hyperlink ref="O113" r:id="rId88" xr:uid="{A747E2CE-FD0A-4170-8F94-F58BDB28535C}"/>
    <hyperlink ref="O111" r:id="rId89" xr:uid="{04895ACB-7DAF-4331-BA34-7C5F5F5D41B8}"/>
    <hyperlink ref="O107" r:id="rId90" xr:uid="{88EB5F2F-C1FA-405C-89BA-6230932B28B5}"/>
    <hyperlink ref="O77" r:id="rId91" xr:uid="{0B94C24B-544E-4321-8DB9-628A5421382F}"/>
    <hyperlink ref="O69" r:id="rId92" xr:uid="{9A137BEE-4267-41CA-A391-4C31F789E397}"/>
    <hyperlink ref="O97" r:id="rId93" xr:uid="{E3CB09A3-6FBF-45F5-9F14-402C20C61520}"/>
    <hyperlink ref="O98" r:id="rId94" xr:uid="{4A2DFC60-C76B-4956-80F7-18C2A21A35D5}"/>
    <hyperlink ref="O92" r:id="rId95" xr:uid="{1856128A-552F-4C88-9710-09572F87CDB2}"/>
    <hyperlink ref="N6" r:id="rId96" xr:uid="{627E4893-A7A4-4A55-9642-ECEB007E75DE}"/>
    <hyperlink ref="O85" r:id="rId97" xr:uid="{292CD800-4B82-47B2-95A5-DE986685C44E}"/>
    <hyperlink ref="O93" r:id="rId98" xr:uid="{2BA8517F-2B9F-4CAB-B203-82C1631C472E}"/>
    <hyperlink ref="O83" r:id="rId99" xr:uid="{75898AD4-365E-4843-8D3D-A9BC6F28CAC6}"/>
    <hyperlink ref="O86" r:id="rId100" xr:uid="{84ED17DF-47EE-4E91-9998-EE7E0F8BC779}"/>
    <hyperlink ref="O87" r:id="rId101" xr:uid="{84058DDE-6CF1-42BC-8366-B1B84B5CCB21}"/>
    <hyperlink ref="O88" r:id="rId102" xr:uid="{19F47CBB-E83A-416A-BA1D-073D220D7653}"/>
    <hyperlink ref="O9" r:id="rId103" xr:uid="{1FBF0D20-FE0D-4159-B836-D1CB927492FF}"/>
    <hyperlink ref="O32" r:id="rId104" xr:uid="{33F1C53F-5910-4FC2-BB60-9CC6FF783F4B}"/>
    <hyperlink ref="O13" r:id="rId105" xr:uid="{DB24E85C-7F0D-4E65-8601-CCB26325891D}"/>
    <hyperlink ref="O19" r:id="rId106" xr:uid="{A00A8024-439B-49F4-8778-B8FC85ECD322}"/>
    <hyperlink ref="O80" r:id="rId107" xr:uid="{DC07BAB3-6ACE-42EA-B22E-947908B81F56}"/>
    <hyperlink ref="O22" r:id="rId108" xr:uid="{B691C3B0-7C9E-4329-8FC3-76C1145BB81B}"/>
    <hyperlink ref="O35" r:id="rId109" xr:uid="{3614DF34-D416-4C9A-8855-0279FF14F31D}"/>
    <hyperlink ref="O23" r:id="rId110" xr:uid="{740A8E90-36C3-45BF-89EA-38E71E64600A}"/>
    <hyperlink ref="O36" r:id="rId111" xr:uid="{CC566D80-DA2E-4C8A-8A6D-E175B09330CF}"/>
    <hyperlink ref="O73" r:id="rId112" xr:uid="{04FBC7DF-8A53-490D-A621-2FEBFD6F94D1}"/>
    <hyperlink ref="O25" r:id="rId113" xr:uid="{A005FB09-9B5A-444C-8879-785AED695BFB}"/>
    <hyperlink ref="O3" r:id="rId114" xr:uid="{D1B06673-3FBE-4C9D-87ED-966A38C94B01}"/>
    <hyperlink ref="O84" r:id="rId115" xr:uid="{D8C701B7-E4C2-4E8D-BF6C-951DB9821318}"/>
    <hyperlink ref="O75" r:id="rId116" xr:uid="{77701FDD-7A89-45B0-91EF-40C41BCB361B}"/>
    <hyperlink ref="O72" r:id="rId117" xr:uid="{3961E7FD-72EB-4AB9-8A3A-56765A9BB636}"/>
    <hyperlink ref="O15" r:id="rId118" xr:uid="{F446E939-C5ED-4BF0-8DAA-725903737DEB}"/>
    <hyperlink ref="O67" r:id="rId119" xr:uid="{A64B9647-E121-4272-98EE-E54AB8BF33C1}"/>
    <hyperlink ref="O68" r:id="rId120" xr:uid="{4E1EE021-67CC-4DF5-BF2E-7679E7523965}"/>
    <hyperlink ref="O6" r:id="rId121" xr:uid="{2ED16B67-DCC1-409D-9591-E2A7AF340AAD}"/>
    <hyperlink ref="O66" r:id="rId122" xr:uid="{658A5361-77D9-4B1E-9FB1-7261E640FFC0}"/>
    <hyperlink ref="O61" r:id="rId123" xr:uid="{0FEF2A50-3A51-400D-96A7-9FED2DCFAEC4}"/>
    <hyperlink ref="O60" r:id="rId124" xr:uid="{3A39C140-7DA7-4CC2-98D3-6DD3C0B9F5B6}"/>
    <hyperlink ref="O59" r:id="rId125" xr:uid="{BDBC9B1C-8A46-47BF-8E99-C3C9247EC79D}"/>
    <hyperlink ref="O27" r:id="rId126" xr:uid="{08C24F0B-B34D-4CAE-9100-C2A0BB61CB25}"/>
    <hyperlink ref="O51" r:id="rId127" xr:uid="{62CB4B92-D3C5-4222-A5E9-28AE90785982}"/>
    <hyperlink ref="O81" r:id="rId128" xr:uid="{F39B041A-DB53-4825-840E-FD22A1EDBF96}"/>
    <hyperlink ref="O48" r:id="rId129" xr:uid="{FE375B76-A6D5-42CB-8045-DD7D298EC8B4}"/>
    <hyperlink ref="O47" r:id="rId130" xr:uid="{0FC179FF-515E-4723-84A0-AC6A5C58011F}"/>
    <hyperlink ref="O45" r:id="rId131" xr:uid="{1000D0CA-3BAE-41C1-A840-BE8AF1299B1A}"/>
    <hyperlink ref="O44" r:id="rId132" xr:uid="{825E2044-CD8B-45FB-BDB5-F30FBAEF9023}"/>
    <hyperlink ref="O43" r:id="rId133" xr:uid="{D4C0F8B2-B552-4158-8D32-00A16A654BA7}"/>
    <hyperlink ref="O42" r:id="rId134" xr:uid="{610C3629-87E7-4BB5-91AA-93F3901DEB77}"/>
    <hyperlink ref="O41" r:id="rId135" xr:uid="{32DC5AB9-EA2B-4264-A82B-A538FCF3858B}"/>
    <hyperlink ref="O40" r:id="rId136" xr:uid="{72519F38-B8A9-4A81-9B32-CB5C59EF5002}"/>
    <hyperlink ref="O39" r:id="rId137" xr:uid="{33810869-AA22-47C9-8597-AD80552C2E4D}"/>
    <hyperlink ref="O79" r:id="rId138" xr:uid="{978CAD5F-656A-4217-B55B-0E27BD55FCCE}"/>
    <hyperlink ref="O37" r:id="rId139" xr:uid="{D652155C-C8C0-41BB-AE07-2A31B63DD822}"/>
    <hyperlink ref="O33" r:id="rId140" tooltip="mailto:suresh.mandava@instellars.com" display="mailto:suresh.mandava@instellars.com" xr:uid="{E9C35E3E-36D2-470D-AC43-11BCDCFC56DA}"/>
    <hyperlink ref="O14" r:id="rId141" xr:uid="{00000000-0004-0000-0000-000003000000}"/>
    <hyperlink ref="O28" r:id="rId142" xr:uid="{00000000-0004-0000-0000-000002000000}"/>
    <hyperlink ref="O26" r:id="rId143" xr:uid="{00000000-0004-0000-0000-000000000000}"/>
    <hyperlink ref="O122" r:id="rId144" xr:uid="{46B3FA04-1E13-494B-B528-766913D91F21}"/>
    <hyperlink ref="O123" r:id="rId145" xr:uid="{B0190048-E83A-411D-A9B9-D9B6639F9FFD}"/>
  </hyperlinks>
  <pageMargins left="0.7" right="0.7" top="0.75" bottom="0.75" header="0.3" footer="0.3"/>
  <pageSetup orientation="portrait" r:id="rId14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2B9731-2CCA-4F0F-BF7B-B911CDFC6658}">
          <x14:formula1>
            <xm:f>#REF!</xm:f>
          </x14:formula1>
          <xm:sqref>Y1:Y1048576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D2558EB76C7D48B741697637EECE8A" ma:contentTypeVersion="3" ma:contentTypeDescription="Create a new document." ma:contentTypeScope="" ma:versionID="ea9f645725858c44dedf6eec495edd66">
  <xsd:schema xmlns:xsd="http://www.w3.org/2001/XMLSchema" xmlns:xs="http://www.w3.org/2001/XMLSchema" xmlns:p="http://schemas.microsoft.com/office/2006/metadata/properties" xmlns:ns2="180614a7-20e0-4071-b470-f558363e5692" targetNamespace="http://schemas.microsoft.com/office/2006/metadata/properties" ma:root="true" ma:fieldsID="46d71d87cce0c848f8477c6ac1c39e66" ns2:_="">
    <xsd:import namespace="180614a7-20e0-4071-b470-f558363e56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614a7-20e0-4071-b470-f558363e5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714ABD-0D43-4E3D-8A06-33D67DD6F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0614a7-20e0-4071-b470-f558363e56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BA05F6-DA35-4C95-9BCE-FB0F7E63F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AB1D-CAA6-4B51-B603-01DE3DBD6F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Sabari Shree Raghavan</cp:lastModifiedBy>
  <cp:revision/>
  <dcterms:created xsi:type="dcterms:W3CDTF">2026-02-01T13:20:12Z</dcterms:created>
  <dcterms:modified xsi:type="dcterms:W3CDTF">2026-06-11T06:07:40Z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0x01010008D2558EB76C7D48B741697637EECE8A</vt:lpwstr>
  </property>
  <property fmtid="{D5CDD505-2E9C-101B-9397-08002B2CF9AE}" pid="3" name="MediaServiceImageTags">
    <vt:lpwstr/>
  </property>
</Properties>
</file>